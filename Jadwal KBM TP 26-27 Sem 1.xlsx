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FILE RUSLI\DOKUMEN SMKN 11\DOKUMEN 2026-2027\Data PKL 2026-2027\"/>
    </mc:Choice>
  </mc:AlternateContent>
  <xr:revisionPtr revIDLastSave="0" documentId="8_{0959336E-A948-4CC5-9039-B4D1B599D2E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istribusi" sheetId="14" r:id="rId1"/>
    <sheet name="10" sheetId="20" r:id="rId2"/>
    <sheet name="11" sheetId="18" r:id="rId3"/>
    <sheet name="PKL" sheetId="17" r:id="rId4"/>
    <sheet name="Walas 26-27" sheetId="3" r:id="rId5"/>
  </sheets>
  <definedNames>
    <definedName name="_xlnm.Print_Area" localSheetId="1">'10'!$A$1:$AK$71</definedName>
    <definedName name="_xlnm.Print_Area" localSheetId="2">'11'!$A$2:$AK$71</definedName>
    <definedName name="_xlnm.Print_Area" localSheetId="0">distribusi!$A$1:$AV$129</definedName>
    <definedName name="_xlnm.Print_Area" localSheetId="3">PKL!$A$1:$Q$76</definedName>
    <definedName name="_xlnm.Print_Titles" localSheetId="1">'10'!$6:$7</definedName>
    <definedName name="_xlnm.Print_Titles" localSheetId="2">'11'!$6:$7</definedName>
    <definedName name="_xlnm.Print_Titles" localSheetId="0">distribusi!$6:$8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3" l="1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Q64" i="17"/>
  <c r="P64" i="17"/>
  <c r="Q62" i="17"/>
  <c r="P62" i="17"/>
  <c r="Q60" i="17"/>
  <c r="P60" i="17"/>
  <c r="Q58" i="17"/>
  <c r="P58" i="17"/>
  <c r="Q56" i="17"/>
  <c r="P56" i="17"/>
  <c r="Q54" i="17"/>
  <c r="P54" i="17"/>
  <c r="Q52" i="17"/>
  <c r="P52" i="17"/>
  <c r="Q50" i="17"/>
  <c r="P50" i="17"/>
  <c r="Q48" i="17"/>
  <c r="P48" i="17"/>
  <c r="Q46" i="17"/>
  <c r="P46" i="17"/>
  <c r="Q44" i="17"/>
  <c r="P44" i="17"/>
  <c r="Q42" i="17"/>
  <c r="P42" i="17"/>
  <c r="Q40" i="17"/>
  <c r="P40" i="17"/>
  <c r="Q38" i="17"/>
  <c r="P38" i="17"/>
  <c r="Q36" i="17"/>
  <c r="P36" i="17"/>
  <c r="Q34" i="17"/>
  <c r="P34" i="17"/>
  <c r="Q32" i="17"/>
  <c r="P32" i="17"/>
  <c r="Q30" i="17"/>
  <c r="P30" i="17"/>
  <c r="Q28" i="17"/>
  <c r="P28" i="17"/>
  <c r="Q26" i="17"/>
  <c r="P26" i="17"/>
  <c r="Q24" i="17"/>
  <c r="P24" i="17"/>
  <c r="Q22" i="17"/>
  <c r="P22" i="17"/>
  <c r="Q20" i="17"/>
  <c r="P20" i="17"/>
  <c r="Q18" i="17"/>
  <c r="P18" i="17"/>
  <c r="Q16" i="17"/>
  <c r="P16" i="17"/>
  <c r="Q14" i="17"/>
  <c r="P14" i="17"/>
  <c r="Q12" i="17"/>
  <c r="P12" i="17"/>
  <c r="Q10" i="17"/>
  <c r="P10" i="17"/>
  <c r="Q8" i="17"/>
  <c r="P8" i="17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AL119" i="14"/>
  <c r="AT118" i="14"/>
  <c r="AM118" i="14"/>
  <c r="AL118" i="14"/>
  <c r="AL117" i="14"/>
  <c r="AT116" i="14"/>
  <c r="AM116" i="14"/>
  <c r="AL116" i="14"/>
  <c r="AL115" i="14"/>
  <c r="AT114" i="14"/>
  <c r="AM114" i="14"/>
  <c r="AL114" i="14"/>
  <c r="AL113" i="14"/>
  <c r="AT112" i="14"/>
  <c r="AM112" i="14"/>
  <c r="AL112" i="14"/>
  <c r="AL111" i="14"/>
  <c r="AT110" i="14"/>
  <c r="AM110" i="14"/>
  <c r="AL110" i="14"/>
  <c r="AL109" i="14"/>
  <c r="AT108" i="14"/>
  <c r="AM108" i="14"/>
  <c r="AL108" i="14"/>
  <c r="AT106" i="14"/>
  <c r="AM106" i="14"/>
  <c r="AL106" i="14"/>
  <c r="AL105" i="14"/>
  <c r="AT104" i="14"/>
  <c r="AM104" i="14"/>
  <c r="AL104" i="14"/>
  <c r="AT102" i="14"/>
  <c r="AM102" i="14"/>
  <c r="AL102" i="14"/>
  <c r="AL101" i="14"/>
  <c r="AL100" i="14"/>
  <c r="AT99" i="14"/>
  <c r="AM99" i="14"/>
  <c r="AL99" i="14"/>
  <c r="AL98" i="14"/>
  <c r="AL97" i="14"/>
  <c r="AM96" i="14"/>
  <c r="AL96" i="14"/>
  <c r="AT94" i="14"/>
  <c r="AM94" i="14"/>
  <c r="AL94" i="14"/>
  <c r="AL93" i="14"/>
  <c r="AT92" i="14"/>
  <c r="AM92" i="14"/>
  <c r="AL92" i="14"/>
  <c r="AL91" i="14"/>
  <c r="AT90" i="14"/>
  <c r="AM90" i="14"/>
  <c r="AL90" i="14"/>
  <c r="AL89" i="14"/>
  <c r="AT88" i="14"/>
  <c r="AM88" i="14"/>
  <c r="AL88" i="14"/>
  <c r="AL87" i="14"/>
  <c r="AT86" i="14"/>
  <c r="AM86" i="14"/>
  <c r="AL86" i="14"/>
  <c r="AL85" i="14"/>
  <c r="AT84" i="14"/>
  <c r="AM84" i="14"/>
  <c r="AL84" i="14"/>
  <c r="AL83" i="14"/>
  <c r="AT82" i="14"/>
  <c r="AM82" i="14"/>
  <c r="AL82" i="14"/>
  <c r="AL81" i="14"/>
  <c r="AL80" i="14"/>
  <c r="AT79" i="14"/>
  <c r="AM79" i="14"/>
  <c r="AL79" i="14"/>
  <c r="AL78" i="14"/>
  <c r="AL77" i="14"/>
  <c r="AT76" i="14"/>
  <c r="AM76" i="14"/>
  <c r="AL76" i="14"/>
  <c r="AT74" i="14"/>
  <c r="AM74" i="14"/>
  <c r="AL74" i="14"/>
  <c r="AT72" i="14"/>
  <c r="AM72" i="14"/>
  <c r="AL72" i="14"/>
  <c r="AL71" i="14"/>
  <c r="AT70" i="14"/>
  <c r="AM70" i="14"/>
  <c r="AL70" i="14"/>
  <c r="AL69" i="14"/>
  <c r="AT68" i="14"/>
  <c r="AM68" i="14"/>
  <c r="AL68" i="14"/>
  <c r="AL67" i="14"/>
  <c r="AT66" i="14"/>
  <c r="AM66" i="14"/>
  <c r="AL66" i="14"/>
  <c r="AL65" i="14"/>
  <c r="AT64" i="14"/>
  <c r="AM64" i="14"/>
  <c r="AL64" i="14"/>
  <c r="AL63" i="14"/>
  <c r="AL62" i="14"/>
  <c r="AT61" i="14"/>
  <c r="AM61" i="14"/>
  <c r="AL61" i="14"/>
  <c r="AT59" i="14"/>
  <c r="AL59" i="14"/>
  <c r="AT57" i="14"/>
  <c r="AM57" i="14"/>
  <c r="AL57" i="14"/>
  <c r="AT55" i="14"/>
  <c r="AM55" i="14"/>
  <c r="AL55" i="14"/>
  <c r="AL54" i="14"/>
  <c r="AT53" i="14"/>
  <c r="AM53" i="14"/>
  <c r="AL53" i="14"/>
  <c r="AL52" i="14"/>
  <c r="AT51" i="14"/>
  <c r="AM51" i="14"/>
  <c r="AL51" i="14"/>
  <c r="AL50" i="14"/>
  <c r="AL49" i="14"/>
  <c r="AT48" i="14"/>
  <c r="AM48" i="14"/>
  <c r="AL48" i="14"/>
  <c r="AL47" i="14"/>
  <c r="AT46" i="14"/>
  <c r="AM46" i="14"/>
  <c r="AL46" i="14"/>
  <c r="AL45" i="14"/>
  <c r="AT44" i="14"/>
  <c r="AM44" i="14"/>
  <c r="AL44" i="14"/>
  <c r="AL43" i="14"/>
  <c r="AT42" i="14"/>
  <c r="AM42" i="14"/>
  <c r="AL42" i="14"/>
  <c r="AL41" i="14"/>
  <c r="AT40" i="14"/>
  <c r="AM40" i="14"/>
  <c r="AL40" i="14"/>
  <c r="AT38" i="14"/>
  <c r="AM38" i="14"/>
  <c r="AL38" i="14"/>
  <c r="AL37" i="14"/>
  <c r="AT36" i="14"/>
  <c r="AM36" i="14"/>
  <c r="AL36" i="14"/>
  <c r="AT34" i="14"/>
  <c r="AM34" i="14"/>
  <c r="AL34" i="14"/>
  <c r="AL33" i="14"/>
  <c r="AT32" i="14"/>
  <c r="AM32" i="14"/>
  <c r="AL32" i="14"/>
  <c r="AT30" i="14"/>
  <c r="AM30" i="14"/>
  <c r="AL30" i="14"/>
  <c r="AT28" i="14"/>
  <c r="AM28" i="14"/>
  <c r="AL28" i="14"/>
  <c r="AL27" i="14"/>
  <c r="AL26" i="14"/>
  <c r="AT25" i="14"/>
  <c r="AM25" i="14"/>
  <c r="AL25" i="14"/>
  <c r="AT23" i="14"/>
  <c r="AM23" i="14"/>
  <c r="AL23" i="14"/>
  <c r="AL22" i="14"/>
  <c r="AT21" i="14"/>
  <c r="AM21" i="14"/>
  <c r="AL21" i="14"/>
  <c r="AT19" i="14"/>
  <c r="AM19" i="14"/>
  <c r="AL19" i="14"/>
  <c r="AL18" i="14"/>
  <c r="AT17" i="14"/>
  <c r="AM17" i="14"/>
  <c r="AL17" i="14"/>
  <c r="AT15" i="14"/>
  <c r="AM15" i="14"/>
  <c r="AL15" i="14"/>
  <c r="AL14" i="14"/>
  <c r="AT13" i="14"/>
  <c r="AM13" i="14"/>
  <c r="AL13" i="14"/>
  <c r="AL12" i="14"/>
  <c r="AT11" i="14"/>
  <c r="AM11" i="14"/>
  <c r="AL11" i="14"/>
  <c r="AT9" i="14"/>
  <c r="AM9" i="14"/>
  <c r="AL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miksakura</author>
  </authors>
  <commentList>
    <comment ref="AS11" authorId="0" shapeId="0" xr:uid="{00000000-0006-0000-0000-000001000000}">
      <text>
        <r>
          <rPr>
            <b/>
            <sz val="9"/>
            <rFont val="Tahoma"/>
            <charset val="134"/>
          </rPr>
          <t>miksakura:</t>
        </r>
        <r>
          <rPr>
            <sz val="9"/>
            <rFont val="Tahoma"/>
            <charset val="134"/>
          </rPr>
          <t xml:space="preserve">
SIANG</t>
        </r>
      </text>
    </comment>
    <comment ref="AS13" authorId="0" shapeId="0" xr:uid="{00000000-0006-0000-0000-000002000000}">
      <text>
        <r>
          <rPr>
            <b/>
            <sz val="9"/>
            <rFont val="Tahoma"/>
            <charset val="134"/>
          </rPr>
          <t>miksakura:</t>
        </r>
        <r>
          <rPr>
            <sz val="9"/>
            <rFont val="Tahoma"/>
            <charset val="134"/>
          </rPr>
          <t xml:space="preserve">
SIANG</t>
        </r>
      </text>
    </comment>
    <comment ref="AS17" authorId="0" shapeId="0" xr:uid="{00000000-0006-0000-0000-000003000000}">
      <text>
        <r>
          <rPr>
            <b/>
            <sz val="9"/>
            <rFont val="Tahoma"/>
            <charset val="134"/>
          </rPr>
          <t>miksakura:</t>
        </r>
        <r>
          <rPr>
            <sz val="9"/>
            <rFont val="Tahoma"/>
            <charset val="134"/>
          </rPr>
          <t xml:space="preserve">
SIANG</t>
        </r>
      </text>
    </comment>
    <comment ref="AS21" authorId="0" shapeId="0" xr:uid="{00000000-0006-0000-0000-000004000000}">
      <text>
        <r>
          <rPr>
            <b/>
            <sz val="9"/>
            <rFont val="Tahoma"/>
            <charset val="134"/>
          </rPr>
          <t>miksakura:</t>
        </r>
        <r>
          <rPr>
            <sz val="9"/>
            <rFont val="Tahoma"/>
            <charset val="134"/>
          </rPr>
          <t xml:space="preserve">
PAGI</t>
        </r>
      </text>
    </comment>
    <comment ref="AS23" authorId="0" shapeId="0" xr:uid="{00000000-0006-0000-0000-000005000000}">
      <text>
        <r>
          <rPr>
            <b/>
            <sz val="9"/>
            <rFont val="Tahoma"/>
            <charset val="134"/>
          </rPr>
          <t>miksakura:</t>
        </r>
        <r>
          <rPr>
            <sz val="9"/>
            <rFont val="Tahoma"/>
            <charset val="134"/>
          </rPr>
          <t xml:space="preserve">
SIANG</t>
        </r>
      </text>
    </comment>
    <comment ref="AS28" authorId="0" shapeId="0" xr:uid="{00000000-0006-0000-0000-000006000000}">
      <text>
        <r>
          <rPr>
            <b/>
            <sz val="9"/>
            <rFont val="Tahoma"/>
            <charset val="134"/>
          </rPr>
          <t>miksakura:</t>
        </r>
        <r>
          <rPr>
            <sz val="9"/>
            <rFont val="Tahoma"/>
            <charset val="134"/>
          </rPr>
          <t xml:space="preserve">
PAGI</t>
        </r>
      </text>
    </comment>
    <comment ref="AS30" authorId="0" shapeId="0" xr:uid="{00000000-0006-0000-0000-000007000000}">
      <text>
        <r>
          <rPr>
            <b/>
            <sz val="9"/>
            <rFont val="Tahoma"/>
            <charset val="134"/>
          </rPr>
          <t>miksakura:</t>
        </r>
        <r>
          <rPr>
            <sz val="9"/>
            <rFont val="Tahoma"/>
            <charset val="134"/>
          </rPr>
          <t xml:space="preserve">
SIANG</t>
        </r>
      </text>
    </comment>
  </commentList>
</comments>
</file>

<file path=xl/sharedStrings.xml><?xml version="1.0" encoding="utf-8"?>
<sst xmlns="http://schemas.openxmlformats.org/spreadsheetml/2006/main" count="2799" uniqueCount="435">
  <si>
    <t>DISTRIBUSI PEMBAGIAN JAM PELAJARAN</t>
  </si>
  <si>
    <t>SMK NEGERI 11 KABUPATEN TANGERANG</t>
  </si>
  <si>
    <t>TAHUN AJARAN 2026/2027</t>
  </si>
  <si>
    <t>SEMESTER GANJIL</t>
  </si>
  <si>
    <t>NO</t>
  </si>
  <si>
    <t>NAMA</t>
  </si>
  <si>
    <t>MATA PELAJARAN</t>
  </si>
  <si>
    <t>Kode</t>
  </si>
  <si>
    <t>KELAS</t>
  </si>
  <si>
    <t>JML JAM</t>
  </si>
  <si>
    <t>TOTAL JAM</t>
  </si>
  <si>
    <t>TUGAS TAMBAHAN</t>
  </si>
  <si>
    <t>TOTAL</t>
  </si>
  <si>
    <t>X</t>
  </si>
  <si>
    <t>XI</t>
  </si>
  <si>
    <t>XII</t>
  </si>
  <si>
    <t>MP1</t>
  </si>
  <si>
    <t>MP2</t>
  </si>
  <si>
    <t>TKJ1</t>
  </si>
  <si>
    <t>TKJ2</t>
  </si>
  <si>
    <t>TSM1</t>
  </si>
  <si>
    <t>TSM2</t>
  </si>
  <si>
    <t>DKV1</t>
  </si>
  <si>
    <t>DKV2</t>
  </si>
  <si>
    <t>TITL1</t>
  </si>
  <si>
    <t>TITL2</t>
  </si>
  <si>
    <t>DPB</t>
  </si>
  <si>
    <t>Guru Wali</t>
  </si>
  <si>
    <t>Wakasek</t>
  </si>
  <si>
    <t>Kaprog</t>
  </si>
  <si>
    <t>Pembina Eskul</t>
  </si>
  <si>
    <t>Koord. Kokulikuler</t>
  </si>
  <si>
    <t>Piket</t>
  </si>
  <si>
    <t>Uci, S.Pd.</t>
  </si>
  <si>
    <t>Bahasa Inggris</t>
  </si>
  <si>
    <t>01-A</t>
  </si>
  <si>
    <t>NIP.197206072008011020</t>
  </si>
  <si>
    <t>Evni Nuraeni, M.Pd.</t>
  </si>
  <si>
    <t>Pendidikan Agama dan Budi Pekerti</t>
  </si>
  <si>
    <t>02-A</t>
  </si>
  <si>
    <t>NIP.198505222010012009</t>
  </si>
  <si>
    <t>Mata Pelajaran PKL</t>
  </si>
  <si>
    <t>02-B</t>
  </si>
  <si>
    <t>Riri Ari Purwanti, S.Pd.</t>
  </si>
  <si>
    <t>Konsentrasi Keahlian MP</t>
  </si>
  <si>
    <t>03-A</t>
  </si>
  <si>
    <t>NIP.198502272014062001</t>
  </si>
  <si>
    <t>03-B</t>
  </si>
  <si>
    <t>A. Hidayat, S. Ag, M.Pd.</t>
  </si>
  <si>
    <t>04-A</t>
  </si>
  <si>
    <t>NIP.197406162008011002</t>
  </si>
  <si>
    <t>Robiatul Adawiyah, S.Pd.</t>
  </si>
  <si>
    <t>Dasar-Dasar Program Keahlian TITL</t>
  </si>
  <si>
    <t>05-A</t>
  </si>
  <si>
    <t>NIP.199302092019032015</t>
  </si>
  <si>
    <t>Konsentrasi Keahlian TITL</t>
  </si>
  <si>
    <t>05-B</t>
  </si>
  <si>
    <t>Iwa Dwi Harjana, S.Pd.</t>
  </si>
  <si>
    <t>Pendidikan Jasmani Olahraga dan Kesehatan</t>
  </si>
  <si>
    <t>06-A</t>
  </si>
  <si>
    <t>NIP.198504132020121003</t>
  </si>
  <si>
    <t>Ines Setiawati Putri, S.Pd.</t>
  </si>
  <si>
    <t>Matematika</t>
  </si>
  <si>
    <t>07-A</t>
  </si>
  <si>
    <t>NIP.199609122020122019</t>
  </si>
  <si>
    <t>07-B</t>
  </si>
  <si>
    <t>Irfan Bagus Irawan, S.Pd.</t>
  </si>
  <si>
    <t>Ilmu Pengetahuan Alam dan Sosial</t>
  </si>
  <si>
    <t>08-A</t>
  </si>
  <si>
    <t>NIP.199508292020121017</t>
  </si>
  <si>
    <t>Mikhsanudin Rahmat, S.Kom.</t>
  </si>
  <si>
    <t>Konsentrasi Keahlian DKV</t>
  </si>
  <si>
    <t>09-A</t>
  </si>
  <si>
    <t>NIPPPK.199102212022211005</t>
  </si>
  <si>
    <t>09-B</t>
  </si>
  <si>
    <t>Seni Rupa</t>
  </si>
  <si>
    <t>09-C</t>
  </si>
  <si>
    <t>Ery Dwi Cahyono, S.Kom.</t>
  </si>
  <si>
    <t>Konsentrasi Keahlian TKJ</t>
  </si>
  <si>
    <t>10-A</t>
  </si>
  <si>
    <t>NIPPPK.198002082022211004</t>
  </si>
  <si>
    <t>Ugi Yusgina, M.Pd.</t>
  </si>
  <si>
    <t>11-A</t>
  </si>
  <si>
    <t>NIPPPK.199208272023211018</t>
  </si>
  <si>
    <t>Diny Fitria Silmi, S.Pd.</t>
  </si>
  <si>
    <t>12-A</t>
  </si>
  <si>
    <t>NIPPPK.198602242024212010</t>
  </si>
  <si>
    <t>12-B</t>
  </si>
  <si>
    <t>Nuralinah, S.Pd.I.</t>
  </si>
  <si>
    <t>13-A</t>
  </si>
  <si>
    <t>NIPPPK.198403022024212012</t>
  </si>
  <si>
    <t>Tita Hartika, S.Pd.</t>
  </si>
  <si>
    <t>14-A</t>
  </si>
  <si>
    <t>NIPPPK.198712092025212031</t>
  </si>
  <si>
    <t>14-B</t>
  </si>
  <si>
    <t>Aspian, S.Pd.I.</t>
  </si>
  <si>
    <t>15-A</t>
  </si>
  <si>
    <t>NIPPPK.198301012025211086</t>
  </si>
  <si>
    <t>Siti Umamah, S.Pd.</t>
  </si>
  <si>
    <t>Bahasa Indonesia</t>
  </si>
  <si>
    <t>16-A</t>
  </si>
  <si>
    <t>NIPPPK.198705042025212053</t>
  </si>
  <si>
    <t>16-B</t>
  </si>
  <si>
    <t>Rini Yuliani, M. Pd.</t>
  </si>
  <si>
    <t>17-A</t>
  </si>
  <si>
    <t>NIPPPK.199007122025212051</t>
  </si>
  <si>
    <t>17-B</t>
  </si>
  <si>
    <t>Cecep Fahruddin, M.Pd.</t>
  </si>
  <si>
    <t>Kreatifitas, Inovasi, dan Kewirausahaan</t>
  </si>
  <si>
    <t>18-A</t>
  </si>
  <si>
    <t>NIPPPK.198605122025211042</t>
  </si>
  <si>
    <t>18-B</t>
  </si>
  <si>
    <t>Rita Suliawati, S.Pd.I.</t>
  </si>
  <si>
    <t>19-A</t>
  </si>
  <si>
    <t>NIPPPK.198206042025212027</t>
  </si>
  <si>
    <t>19-B</t>
  </si>
  <si>
    <t>Robi Kurnia, SE.I, M.Pd.</t>
  </si>
  <si>
    <t>20-A</t>
  </si>
  <si>
    <t>NIPPPK.198910252025211039</t>
  </si>
  <si>
    <t>Dasar - Dasar Program Keahlian MPLB</t>
  </si>
  <si>
    <t>20-B</t>
  </si>
  <si>
    <t>20-C</t>
  </si>
  <si>
    <t>Ichsan Mudhofar, ST.</t>
  </si>
  <si>
    <t>21-A</t>
  </si>
  <si>
    <t>NIPPPK.198911022025211036</t>
  </si>
  <si>
    <t>21-B</t>
  </si>
  <si>
    <t>Atri Apriyani, M.Pd.</t>
  </si>
  <si>
    <t>22-A</t>
  </si>
  <si>
    <t>NIPPPK.199003292025212042</t>
  </si>
  <si>
    <t>Dewi Angraeni, S.Pd.</t>
  </si>
  <si>
    <t>23-A</t>
  </si>
  <si>
    <t>NIPPPK.199308082025212050</t>
  </si>
  <si>
    <t>M. Fathul Fuluh, S.Hum.</t>
  </si>
  <si>
    <t>24-A</t>
  </si>
  <si>
    <t>NIPPPK.199011272025211026</t>
  </si>
  <si>
    <t>Hudaefah, S.Sos</t>
  </si>
  <si>
    <t>Bimbingan Kosneling</t>
  </si>
  <si>
    <t>25-A</t>
  </si>
  <si>
    <t>-</t>
  </si>
  <si>
    <t>NIPPPK.199204022025212040</t>
  </si>
  <si>
    <t>Nyi Ayu Yanti Mursiti, S. Pd.</t>
  </si>
  <si>
    <t>26-A</t>
  </si>
  <si>
    <t>NIPPPK.199309022025212045</t>
  </si>
  <si>
    <t>Konsentrasi Keahlian DPB</t>
  </si>
  <si>
    <t>26-B</t>
  </si>
  <si>
    <t>Dasar - Dasar Program Keahlian DPB</t>
  </si>
  <si>
    <t>26-C</t>
  </si>
  <si>
    <t>Dyah Fatma Wati, S.Pd.</t>
  </si>
  <si>
    <t>27-A</t>
  </si>
  <si>
    <t>NIPPPK.199312122025212062</t>
  </si>
  <si>
    <t>27-B</t>
  </si>
  <si>
    <t>Dede Nurhayati, S.Pd.</t>
  </si>
  <si>
    <t>28-A</t>
  </si>
  <si>
    <t>NIPPPK.199406072025212047</t>
  </si>
  <si>
    <t>28-B</t>
  </si>
  <si>
    <t>Ruslianto, S.Kom.</t>
  </si>
  <si>
    <t>29-A</t>
  </si>
  <si>
    <t>NIPPPK.198709032025211038</t>
  </si>
  <si>
    <t>Dasar - Dasar Program Keahlian TKJ</t>
  </si>
  <si>
    <t>29-B</t>
  </si>
  <si>
    <t>Ari Triansyah, S.Kom.</t>
  </si>
  <si>
    <t>30-A</t>
  </si>
  <si>
    <t>NIPPPK.199308122025211038</t>
  </si>
  <si>
    <t>Koding dan Kecerdasan Artifisial</t>
  </si>
  <si>
    <t>30-B</t>
  </si>
  <si>
    <t>Ika Irmawati, S.Pd.</t>
  </si>
  <si>
    <t>31-A</t>
  </si>
  <si>
    <t>NIPPPK.198909262025212033</t>
  </si>
  <si>
    <t>Yoga Pranata, S.Pd.</t>
  </si>
  <si>
    <t>Sejarah</t>
  </si>
  <si>
    <t>32-A</t>
  </si>
  <si>
    <t>NIPPPK.199112252025211046</t>
  </si>
  <si>
    <t>Zuhaeni Ahmayadi, S.Sos.</t>
  </si>
  <si>
    <t>33-A</t>
  </si>
  <si>
    <t>NIPPPK.1984061820252110030</t>
  </si>
  <si>
    <t>33-B</t>
  </si>
  <si>
    <t>Pendidikan Pancasila</t>
  </si>
  <si>
    <t>33-C</t>
  </si>
  <si>
    <t>Rizky Istiyono, S.Pd.</t>
  </si>
  <si>
    <t>34-A</t>
  </si>
  <si>
    <t>NIPPPK.199203242025211025</t>
  </si>
  <si>
    <t>Dasar - Dasar Program Keahlian DKV</t>
  </si>
  <si>
    <t>34-B</t>
  </si>
  <si>
    <t>34-C</t>
  </si>
  <si>
    <t>Siti Subandriyah, S.H.</t>
  </si>
  <si>
    <t>Informatika</t>
  </si>
  <si>
    <t>35-A</t>
  </si>
  <si>
    <t>NIPPPK.198205052025212055</t>
  </si>
  <si>
    <t>35-B</t>
  </si>
  <si>
    <t>Irpan Nugraha, ST.</t>
  </si>
  <si>
    <t>36-A</t>
  </si>
  <si>
    <t>NIPPPK.198303142025211041</t>
  </si>
  <si>
    <t>Konsentrasi Keahlian TSM</t>
  </si>
  <si>
    <t>36-B</t>
  </si>
  <si>
    <t>Yanah Suryanah, S.Pd.</t>
  </si>
  <si>
    <t>37-A</t>
  </si>
  <si>
    <t>NIPPPK.198407292025212021</t>
  </si>
  <si>
    <t>37-B</t>
  </si>
  <si>
    <t>Siti Laelatun Komariah, S.Pd.</t>
  </si>
  <si>
    <t>38-A</t>
  </si>
  <si>
    <t>NIPPPK.198502272025212029</t>
  </si>
  <si>
    <t>Seni Musik</t>
  </si>
  <si>
    <t>38-B</t>
  </si>
  <si>
    <t>Uswatun Hasanah, S.Pd.</t>
  </si>
  <si>
    <t>Mapel Pilihan (Bahasa Arab)</t>
  </si>
  <si>
    <t>39-A</t>
  </si>
  <si>
    <t>NIPPPK.198504072024212035</t>
  </si>
  <si>
    <t>39-B</t>
  </si>
  <si>
    <t>Ahmad Yani, S.Kom.</t>
  </si>
  <si>
    <t>40-A</t>
  </si>
  <si>
    <t>NIPPPK.198508162025211041</t>
  </si>
  <si>
    <t>40-B</t>
  </si>
  <si>
    <t>Siti Rohimah, S.Sos.I</t>
  </si>
  <si>
    <t>41-A</t>
  </si>
  <si>
    <t>NIPPPK.198210102025212043</t>
  </si>
  <si>
    <t>Lika Pebriantini, S.Sos</t>
  </si>
  <si>
    <t>42-A</t>
  </si>
  <si>
    <t>NIPPPK.198202182025212021</t>
  </si>
  <si>
    <t>42-B</t>
  </si>
  <si>
    <t>42-C</t>
  </si>
  <si>
    <t>Agus Abdul Gofur, S.Pd.</t>
  </si>
  <si>
    <t>43-A</t>
  </si>
  <si>
    <t>NIPPPK.199108062025211119</t>
  </si>
  <si>
    <t>43-B</t>
  </si>
  <si>
    <t>43-C</t>
  </si>
  <si>
    <t>Bunajat Tohir, S.Pd.</t>
  </si>
  <si>
    <t>44-A</t>
  </si>
  <si>
    <t>NIPPPK.198709272025211083</t>
  </si>
  <si>
    <t>Ali Rohman, S.Ag.</t>
  </si>
  <si>
    <t>45-A</t>
  </si>
  <si>
    <t>NIPPPK.197102062025211035</t>
  </si>
  <si>
    <t>45-B</t>
  </si>
  <si>
    <t>Ahmad Faozi, S.Pd.</t>
  </si>
  <si>
    <t>46-A</t>
  </si>
  <si>
    <t>NIPPPK.198911212025211113</t>
  </si>
  <si>
    <t>Nining Nurhayati, S.Pd.</t>
  </si>
  <si>
    <t>47-A</t>
  </si>
  <si>
    <t>NIPPPK.199006122025212220</t>
  </si>
  <si>
    <t>Neneng Kiki, S.Pd.</t>
  </si>
  <si>
    <t>48-A</t>
  </si>
  <si>
    <t>NIPPPK.199510082025212163</t>
  </si>
  <si>
    <t>Amelia Pratiwi, S.Pd.</t>
  </si>
  <si>
    <t>49-A</t>
  </si>
  <si>
    <t>NIPPPK.199305282025212173</t>
  </si>
  <si>
    <t>49-B</t>
  </si>
  <si>
    <t>Siti Widiastuti P. S. Pd.</t>
  </si>
  <si>
    <t>50-A</t>
  </si>
  <si>
    <t>NIPPPK.199505182025212080</t>
  </si>
  <si>
    <t>50-B</t>
  </si>
  <si>
    <t>Septian Hernawan, S.E., M.M</t>
  </si>
  <si>
    <t>51-A</t>
  </si>
  <si>
    <t>NIPPPPK.199109152025211099</t>
  </si>
  <si>
    <t>51-B</t>
  </si>
  <si>
    <t>Ary Catur Priyanto, ST.</t>
  </si>
  <si>
    <t>Dasar - Dasar Program Keahlian TSM</t>
  </si>
  <si>
    <t>52-A</t>
  </si>
  <si>
    <t>NIPPPK.200101152025211041</t>
  </si>
  <si>
    <t>52-B</t>
  </si>
  <si>
    <t>JUMLAH JAM</t>
  </si>
  <si>
    <t>Mengatahui</t>
  </si>
  <si>
    <t>Jayanti,    Juli 2026</t>
  </si>
  <si>
    <t>Kepala Satuan Pendidikan</t>
  </si>
  <si>
    <t>Wakasek Kurikulum</t>
  </si>
  <si>
    <t>Dra. EMMA SUKMAYATI</t>
  </si>
  <si>
    <t>Uci, S.Pd</t>
  </si>
  <si>
    <t>NIP.196712021993032007</t>
  </si>
  <si>
    <t>JADWAL KEGIATAN BELAJAR MENGAJAR</t>
  </si>
  <si>
    <t>Hari</t>
  </si>
  <si>
    <t>Jam</t>
  </si>
  <si>
    <t>Waktu</t>
  </si>
  <si>
    <t>KELAS X</t>
  </si>
  <si>
    <t>KD</t>
  </si>
  <si>
    <t>R</t>
  </si>
  <si>
    <t>SENIN</t>
  </si>
  <si>
    <t>06.30 - 07.30</t>
  </si>
  <si>
    <t>UPACARA</t>
  </si>
  <si>
    <t>07.30 - 08.15</t>
  </si>
  <si>
    <t>DASAR MPLB</t>
  </si>
  <si>
    <t>LAB MP</t>
  </si>
  <si>
    <t>PJOK</t>
  </si>
  <si>
    <t>DASAR TKJ</t>
  </si>
  <si>
    <t>RPS TKJ</t>
  </si>
  <si>
    <t>02</t>
  </si>
  <si>
    <t>INFORMATIKA</t>
  </si>
  <si>
    <t>RPS TSM</t>
  </si>
  <si>
    <t>IPAS</t>
  </si>
  <si>
    <t>PAI</t>
  </si>
  <si>
    <t>03</t>
  </si>
  <si>
    <t>MATEMATIKA</t>
  </si>
  <si>
    <t>04</t>
  </si>
  <si>
    <t>LAB DKV</t>
  </si>
  <si>
    <t>B. INGGRIS</t>
  </si>
  <si>
    <t>07</t>
  </si>
  <si>
    <t>08.15 - 09.00</t>
  </si>
  <si>
    <t>09.00 - 09.45</t>
  </si>
  <si>
    <t>DASAR TSM</t>
  </si>
  <si>
    <t>DASAR DKV</t>
  </si>
  <si>
    <t>09.45 - 10.05</t>
  </si>
  <si>
    <t>ISTIRAHAT Ke 1</t>
  </si>
  <si>
    <t>10.05 - 10.50</t>
  </si>
  <si>
    <t>KKA</t>
  </si>
  <si>
    <t>B. INDONESIA</t>
  </si>
  <si>
    <t>SENI RUPA</t>
  </si>
  <si>
    <t>10.50 - 11.35</t>
  </si>
  <si>
    <t>ISTIRAHAT Ke 2</t>
  </si>
  <si>
    <t>48-B</t>
  </si>
  <si>
    <t>SEJARAH</t>
  </si>
  <si>
    <t>PEND. PANCASILA</t>
  </si>
  <si>
    <t>SELASA</t>
  </si>
  <si>
    <t>KEGIATAN PAGI</t>
  </si>
  <si>
    <t>01</t>
  </si>
  <si>
    <t>09</t>
  </si>
  <si>
    <t>RPS TITL</t>
  </si>
  <si>
    <t>06</t>
  </si>
  <si>
    <t>DASAR TITL</t>
  </si>
  <si>
    <t>SENI MUSIK</t>
  </si>
  <si>
    <t>RABU</t>
  </si>
  <si>
    <t>KAMIS</t>
  </si>
  <si>
    <t>DASAR DPB</t>
  </si>
  <si>
    <t>RPS DPB</t>
  </si>
  <si>
    <t>JUMAT</t>
  </si>
  <si>
    <t>PENGAJIAN JUMAT</t>
  </si>
  <si>
    <t>11.35 - 12.45</t>
  </si>
  <si>
    <t>12.45 - 13.30</t>
  </si>
  <si>
    <t>13.30 - 14.15</t>
  </si>
  <si>
    <t>14.15 - 15.00</t>
  </si>
  <si>
    <t>Jayanti,   Juli 2026</t>
  </si>
  <si>
    <t>KELAS XI</t>
  </si>
  <si>
    <t>B. ARAB</t>
  </si>
  <si>
    <t>KONS. TITL</t>
  </si>
  <si>
    <t>05</t>
  </si>
  <si>
    <t>KIK</t>
  </si>
  <si>
    <t>08</t>
  </si>
  <si>
    <t>KONS. DPB</t>
  </si>
  <si>
    <t>KONS. MP</t>
  </si>
  <si>
    <t>KONS. TKJ</t>
  </si>
  <si>
    <t>KONS. TSM</t>
  </si>
  <si>
    <t>KONS. DKV</t>
  </si>
  <si>
    <t>DISTRIBUSI JAM PRAKTIK KERJA LAPANGAN (PKL)</t>
  </si>
  <si>
    <t>KELAS 12</t>
  </si>
  <si>
    <t>JUMLAH SISWA</t>
  </si>
  <si>
    <t>KAPROG</t>
  </si>
  <si>
    <t>WALAS TAHUN 2026-2027</t>
  </si>
  <si>
    <t>Ruslianto, S.Kom</t>
  </si>
  <si>
    <t>TKJ</t>
  </si>
  <si>
    <t>10 MP 1</t>
  </si>
  <si>
    <t>Zuhaeni Ahmayadi, S.Sos</t>
  </si>
  <si>
    <t>11 MP 1</t>
  </si>
  <si>
    <t>Ines Setiawati Putri, S.Pd</t>
  </si>
  <si>
    <t>12 MP 1</t>
  </si>
  <si>
    <t>Rini Yuliani, M.Pd</t>
  </si>
  <si>
    <t>Agus Abdul Gofur, S.Pd</t>
  </si>
  <si>
    <t>TSM</t>
  </si>
  <si>
    <t>10 MP 2</t>
  </si>
  <si>
    <t>Lika Febriantini, S.Pd</t>
  </si>
  <si>
    <t>11 MP 2</t>
  </si>
  <si>
    <t>Cecep Fahruddin, M.Pd</t>
  </si>
  <si>
    <t>12 MP 2</t>
  </si>
  <si>
    <t>Riri Ari Purwanti, S.Pd</t>
  </si>
  <si>
    <t>Robi Kurnia, SE.I, M.Pd</t>
  </si>
  <si>
    <t>MP</t>
  </si>
  <si>
    <t>10 TKJ 1</t>
  </si>
  <si>
    <t>Ari Triansyah, S.Kom</t>
  </si>
  <si>
    <t>11 TKJ 1</t>
  </si>
  <si>
    <t>Ery Dwi Cahyono, S.Kom</t>
  </si>
  <si>
    <t>12 TKJ 1</t>
  </si>
  <si>
    <t>Ahmad Yani, S.Kom</t>
  </si>
  <si>
    <t>Ichsan Mudhofar, ST</t>
  </si>
  <si>
    <t>TITL</t>
  </si>
  <si>
    <t>10 TKJ 2</t>
  </si>
  <si>
    <t>Aspian, S.Pd.I</t>
  </si>
  <si>
    <t>11 TKJ 2</t>
  </si>
  <si>
    <t>Dede Nurhayati, S.Pd</t>
  </si>
  <si>
    <t>12 TKJ 2</t>
  </si>
  <si>
    <t>Siti Umamah, S.Pd</t>
  </si>
  <si>
    <t>Mikhsanudin Rahmat, S.Kom</t>
  </si>
  <si>
    <t>DKV</t>
  </si>
  <si>
    <t>10 DKV 1</t>
  </si>
  <si>
    <t>Rizky Istiyono, S.Pd</t>
  </si>
  <si>
    <t>11 DKV 1</t>
  </si>
  <si>
    <t>Ugi Yusgina, M.Pd</t>
  </si>
  <si>
    <t>12 DKV 1</t>
  </si>
  <si>
    <t>Tita Hartika, S.Pd.I</t>
  </si>
  <si>
    <t>Nyi Ayu Yanti Mursiti, S.Pd</t>
  </si>
  <si>
    <t>10 DKV 2</t>
  </si>
  <si>
    <t>Dyah Fatma Wati, S.Pd</t>
  </si>
  <si>
    <t>11 DKV 2</t>
  </si>
  <si>
    <t>12 DKV 2</t>
  </si>
  <si>
    <t>Nining Nurhayati, S.Pd</t>
  </si>
  <si>
    <t>10 TSM 1</t>
  </si>
  <si>
    <t>Iwa Dwi Harjana, S.Pd</t>
  </si>
  <si>
    <t>11 TSM 1</t>
  </si>
  <si>
    <t>Uswatun Hasanah, S.Pd</t>
  </si>
  <si>
    <t>12 TSM 1</t>
  </si>
  <si>
    <t>Irpan Nugraha, ST</t>
  </si>
  <si>
    <t>WAKASEK</t>
  </si>
  <si>
    <t>10 TSM 2</t>
  </si>
  <si>
    <t>Ari Catur Priyanto, ST</t>
  </si>
  <si>
    <t>11 TSM 2</t>
  </si>
  <si>
    <t>Yoga Pranata, S.Pd</t>
  </si>
  <si>
    <t>12 TSM 2</t>
  </si>
  <si>
    <t>Siti Subandriah, SH</t>
  </si>
  <si>
    <t>Kurikulum</t>
  </si>
  <si>
    <t>10 TITL 1</t>
  </si>
  <si>
    <t>M. Fathul Fuluh, S.Hum</t>
  </si>
  <si>
    <t>11 TITL 1</t>
  </si>
  <si>
    <t>Ika Irmawati, S.Pd</t>
  </si>
  <si>
    <t>12 TITL 1</t>
  </si>
  <si>
    <t>Dini Fitria Silmi, S.Pd</t>
  </si>
  <si>
    <t>Rita Suliawati, S.Pd.I</t>
  </si>
  <si>
    <t>Kesiswaan</t>
  </si>
  <si>
    <t>10 TITL 2</t>
  </si>
  <si>
    <t>Siti Laelatun Komariah, S.Pd</t>
  </si>
  <si>
    <t>11 TITL 2</t>
  </si>
  <si>
    <t>Yanah Suryanah, S.Pd</t>
  </si>
  <si>
    <t>12 TITL 2</t>
  </si>
  <si>
    <t>Septian Hernawan, SE</t>
  </si>
  <si>
    <t>A. Hidayat, S.Ag</t>
  </si>
  <si>
    <t>Sarpras</t>
  </si>
  <si>
    <t>10 DPB</t>
  </si>
  <si>
    <t>Irpan Bagus Irawan, S.Pd</t>
  </si>
  <si>
    <t>11 DPB</t>
  </si>
  <si>
    <t>Dewi Angraeni, S.Pd</t>
  </si>
  <si>
    <t>12 DPB</t>
  </si>
  <si>
    <t>Evni Nuraeni, M.Pd</t>
  </si>
  <si>
    <t>Atri Apriyani, M.Pd</t>
  </si>
  <si>
    <t>Humas</t>
  </si>
  <si>
    <t>Nuralinah, S.Pd.I</t>
  </si>
  <si>
    <t>Pem. Resimen</t>
  </si>
  <si>
    <t>jam mengajar dibagi jam total pkl dikali jumlah siswa di kelas</t>
  </si>
  <si>
    <t>12 dkv 1</t>
  </si>
  <si>
    <t>11.35 - 12.10</t>
  </si>
  <si>
    <t>12.10- 12.55</t>
  </si>
  <si>
    <t>12.55 - 13.40</t>
  </si>
  <si>
    <t>13.40- 14.25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</si>
</sst>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_);_(* \(#,##0\);_(* &quot;-&quot;??_);_(@_)"/>
  </numFmts>
  <fonts count="1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2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Tahoma"/>
      <charset val="134"/>
    </font>
    <font>
      <b/>
      <sz val="9"/>
      <name val="Tahoma"/>
      <charset val="134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41" fontId="1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15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shrinkToFit="1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 shrinkToFi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 shrinkToFit="1"/>
    </xf>
    <xf numFmtId="0" fontId="5" fillId="0" borderId="6" xfId="3" applyFont="1" applyBorder="1" applyAlignment="1">
      <alignment horizontal="center" vertical="center" shrinkToFit="1"/>
    </xf>
    <xf numFmtId="0" fontId="5" fillId="0" borderId="1" xfId="3" applyFont="1" applyBorder="1" applyAlignment="1">
      <alignment horizontal="center" vertical="center" shrinkToFit="1"/>
    </xf>
    <xf numFmtId="0" fontId="5" fillId="0" borderId="7" xfId="3" applyFont="1" applyBorder="1" applyAlignment="1">
      <alignment horizontal="center" vertical="center" shrinkToFit="1"/>
    </xf>
    <xf numFmtId="0" fontId="5" fillId="4" borderId="6" xfId="3" applyFont="1" applyFill="1" applyBorder="1" applyAlignment="1">
      <alignment horizontal="center" vertical="center" shrinkToFit="1"/>
    </xf>
    <xf numFmtId="0" fontId="5" fillId="4" borderId="1" xfId="3" applyFont="1" applyFill="1" applyBorder="1" applyAlignment="1">
      <alignment horizontal="center" vertical="center" shrinkToFit="1"/>
    </xf>
    <xf numFmtId="0" fontId="5" fillId="4" borderId="7" xfId="3" applyFont="1" applyFill="1" applyBorder="1" applyAlignment="1">
      <alignment horizontal="center" vertical="center" shrinkToFit="1"/>
    </xf>
    <xf numFmtId="0" fontId="3" fillId="0" borderId="1" xfId="3" applyBorder="1" applyAlignment="1">
      <alignment horizontal="center" vertical="center"/>
    </xf>
    <xf numFmtId="0" fontId="1" fillId="0" borderId="1" xfId="3" applyFont="1" applyBorder="1" applyAlignment="1">
      <alignment shrinkToFit="1"/>
    </xf>
    <xf numFmtId="0" fontId="3" fillId="0" borderId="4" xfId="3" applyBorder="1" applyAlignment="1">
      <alignment horizontal="left" vertical="center" shrinkToFit="1"/>
    </xf>
    <xf numFmtId="0" fontId="3" fillId="0" borderId="4" xfId="3" applyBorder="1" applyAlignment="1">
      <alignment horizontal="center" vertical="center" shrinkToFit="1"/>
    </xf>
    <xf numFmtId="0" fontId="3" fillId="0" borderId="1" xfId="3" applyBorder="1" applyAlignment="1">
      <alignment vertical="top" shrinkToFit="1"/>
    </xf>
    <xf numFmtId="0" fontId="3" fillId="0" borderId="1" xfId="3" applyBorder="1" applyAlignment="1">
      <alignment vertical="center" shrinkToFit="1"/>
    </xf>
    <xf numFmtId="0" fontId="3" fillId="0" borderId="1" xfId="3" applyBorder="1" applyAlignment="1">
      <alignment horizontal="left" vertical="top" shrinkToFit="1"/>
    </xf>
    <xf numFmtId="0" fontId="1" fillId="0" borderId="4" xfId="3" applyFont="1" applyBorder="1" applyAlignment="1">
      <alignment shrinkToFit="1"/>
    </xf>
    <xf numFmtId="0" fontId="3" fillId="0" borderId="4" xfId="3" applyBorder="1" applyAlignment="1">
      <alignment horizontal="left" vertical="top" shrinkToFit="1"/>
    </xf>
    <xf numFmtId="0" fontId="3" fillId="0" borderId="4" xfId="3" applyBorder="1" applyAlignment="1">
      <alignment vertical="top" shrinkToFit="1"/>
    </xf>
    <xf numFmtId="0" fontId="0" fillId="0" borderId="1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left" shrinkToFit="1"/>
    </xf>
    <xf numFmtId="0" fontId="1" fillId="0" borderId="1" xfId="3" applyFont="1" applyBorder="1" applyAlignment="1">
      <alignment horizontal="left" shrinkToFit="1"/>
    </xf>
    <xf numFmtId="0" fontId="3" fillId="0" borderId="11" xfId="3" applyBorder="1" applyAlignment="1">
      <alignment horizontal="left" vertical="top" shrinkToFit="1"/>
    </xf>
    <xf numFmtId="0" fontId="1" fillId="0" borderId="11" xfId="3" applyFont="1" applyBorder="1" applyAlignment="1">
      <alignment horizontal="left" shrinkToFi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0" xfId="3" applyAlignment="1">
      <alignment horizontal="center"/>
    </xf>
    <xf numFmtId="0" fontId="3" fillId="0" borderId="0" xfId="3" applyAlignment="1">
      <alignment horizontal="center" vertic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" fillId="0" borderId="0" xfId="3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center" vertical="center" shrinkToFit="1"/>
    </xf>
    <xf numFmtId="0" fontId="0" fillId="9" borderId="1" xfId="0" applyFill="1" applyBorder="1" applyAlignment="1">
      <alignment horizontal="center" vertical="center" shrinkToFit="1"/>
    </xf>
    <xf numFmtId="0" fontId="0" fillId="3" borderId="1" xfId="0" applyFill="1" applyBorder="1" applyAlignment="1">
      <alignment horizontal="center" vertical="center" shrinkToFit="1"/>
    </xf>
    <xf numFmtId="0" fontId="0" fillId="6" borderId="1" xfId="0" applyFill="1" applyBorder="1" applyAlignment="1">
      <alignment horizontal="center" vertical="center" shrinkToFit="1"/>
    </xf>
    <xf numFmtId="0" fontId="0" fillId="7" borderId="1" xfId="0" applyFill="1" applyBorder="1" applyAlignment="1">
      <alignment horizontal="center" vertical="center" shrinkToFit="1"/>
    </xf>
    <xf numFmtId="0" fontId="0" fillId="8" borderId="1" xfId="0" applyFill="1" applyBorder="1" applyAlignment="1">
      <alignment horizontal="center" vertical="center" shrinkToFit="1"/>
    </xf>
    <xf numFmtId="0" fontId="1" fillId="0" borderId="1" xfId="0" applyFont="1" applyBorder="1" applyAlignment="1">
      <alignment vertical="center" wrapText="1" shrinkToFit="1"/>
    </xf>
    <xf numFmtId="0" fontId="0" fillId="0" borderId="0" xfId="0" applyAlignment="1">
      <alignment horizontal="center"/>
    </xf>
    <xf numFmtId="0" fontId="3" fillId="0" borderId="0" xfId="3"/>
    <xf numFmtId="16" fontId="0" fillId="4" borderId="1" xfId="0" applyNumberFormat="1" applyFill="1" applyBorder="1" applyAlignment="1">
      <alignment horizontal="center" vertical="center" shrinkToFit="1"/>
    </xf>
    <xf numFmtId="0" fontId="4" fillId="0" borderId="0" xfId="3" applyFont="1"/>
    <xf numFmtId="0" fontId="0" fillId="0" borderId="0" xfId="3" applyFont="1"/>
    <xf numFmtId="0" fontId="1" fillId="0" borderId="0" xfId="3" applyFont="1"/>
    <xf numFmtId="0" fontId="4" fillId="0" borderId="13" xfId="3" applyFont="1" applyBorder="1"/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/>
    </xf>
    <xf numFmtId="0" fontId="11" fillId="0" borderId="0" xfId="3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 wrapText="1" shrinkToFit="1"/>
    </xf>
    <xf numFmtId="0" fontId="3" fillId="0" borderId="1" xfId="3" applyBorder="1" applyAlignment="1">
      <alignment horizontal="left" vertical="center" shrinkToFit="1"/>
    </xf>
    <xf numFmtId="0" fontId="3" fillId="0" borderId="1" xfId="3" applyBorder="1" applyAlignment="1">
      <alignment horizontal="center" vertical="center" shrinkToFit="1"/>
    </xf>
    <xf numFmtId="0" fontId="1" fillId="0" borderId="1" xfId="3" applyFont="1" applyBorder="1" applyAlignment="1">
      <alignment horizontal="center" vertical="center" shrinkToFit="1"/>
    </xf>
    <xf numFmtId="1" fontId="3" fillId="0" borderId="1" xfId="3" applyNumberFormat="1" applyBorder="1" applyAlignment="1">
      <alignment horizontal="center" vertical="center"/>
    </xf>
    <xf numFmtId="0" fontId="13" fillId="0" borderId="0" xfId="3" applyFont="1" applyAlignment="1">
      <alignment horizontal="center" vertical="center" shrinkToFit="1"/>
    </xf>
    <xf numFmtId="0" fontId="3" fillId="0" borderId="4" xfId="3" applyBorder="1" applyAlignment="1">
      <alignment vertical="center" shrinkToFit="1"/>
    </xf>
    <xf numFmtId="0" fontId="1" fillId="0" borderId="1" xfId="3" applyFont="1" applyBorder="1" applyAlignment="1">
      <alignment horizontal="center" vertical="center"/>
    </xf>
    <xf numFmtId="41" fontId="3" fillId="0" borderId="0" xfId="1" applyFont="1"/>
    <xf numFmtId="0" fontId="3" fillId="0" borderId="0" xfId="3" applyAlignment="1">
      <alignment horizontal="left"/>
    </xf>
    <xf numFmtId="0" fontId="0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5" fontId="0" fillId="0" borderId="0" xfId="2" applyNumberFormat="1" applyFont="1"/>
    <xf numFmtId="165" fontId="0" fillId="0" borderId="0" xfId="2" applyNumberFormat="1" applyFont="1" applyFill="1"/>
    <xf numFmtId="165" fontId="1" fillId="0" borderId="0" xfId="3" applyNumberFormat="1" applyFont="1"/>
    <xf numFmtId="0" fontId="1" fillId="0" borderId="1" xfId="0" quotePrefix="1" applyFont="1" applyBorder="1" applyAlignment="1">
      <alignment horizontal="center" vertical="center" wrapText="1" shrinkToFit="1"/>
    </xf>
    <xf numFmtId="0" fontId="1" fillId="0" borderId="1" xfId="0" quotePrefix="1" applyFont="1" applyBorder="1" applyAlignment="1">
      <alignment vertical="center" wrapText="1" shrinkToFit="1"/>
    </xf>
    <xf numFmtId="0" fontId="8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 shrinkToFit="1"/>
    </xf>
    <xf numFmtId="0" fontId="1" fillId="0" borderId="1" xfId="0" quotePrefix="1" applyFont="1" applyBorder="1" applyAlignment="1">
      <alignment horizontal="center" vertical="center" wrapText="1" shrinkToFit="1"/>
    </xf>
    <xf numFmtId="0" fontId="1" fillId="5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11" fillId="0" borderId="0" xfId="3" applyFont="1" applyAlignment="1">
      <alignment horizontal="center"/>
    </xf>
    <xf numFmtId="0" fontId="1" fillId="3" borderId="2" xfId="3" applyFont="1" applyFill="1" applyBorder="1" applyAlignment="1">
      <alignment horizontal="center"/>
    </xf>
    <xf numFmtId="0" fontId="1" fillId="3" borderId="3" xfId="3" applyFont="1" applyFill="1" applyBorder="1" applyAlignment="1">
      <alignment horizontal="center"/>
    </xf>
    <xf numFmtId="0" fontId="1" fillId="4" borderId="15" xfId="3" applyFont="1" applyFill="1" applyBorder="1" applyAlignment="1">
      <alignment horizontal="center"/>
    </xf>
    <xf numFmtId="0" fontId="1" fillId="4" borderId="16" xfId="3" applyFont="1" applyFill="1" applyBorder="1" applyAlignment="1">
      <alignment horizontal="center"/>
    </xf>
    <xf numFmtId="0" fontId="1" fillId="4" borderId="17" xfId="3" applyFont="1" applyFill="1" applyBorder="1" applyAlignment="1">
      <alignment horizontal="center"/>
    </xf>
    <xf numFmtId="0" fontId="1" fillId="10" borderId="15" xfId="3" applyFont="1" applyFill="1" applyBorder="1" applyAlignment="1">
      <alignment horizontal="center"/>
    </xf>
    <xf numFmtId="0" fontId="1" fillId="10" borderId="16" xfId="3" applyFont="1" applyFill="1" applyBorder="1" applyAlignment="1">
      <alignment horizontal="center"/>
    </xf>
    <xf numFmtId="0" fontId="1" fillId="10" borderId="17" xfId="3" applyFont="1" applyFill="1" applyBorder="1" applyAlignment="1">
      <alignment horizontal="center"/>
    </xf>
    <xf numFmtId="0" fontId="1" fillId="7" borderId="15" xfId="3" applyFont="1" applyFill="1" applyBorder="1" applyAlignment="1">
      <alignment horizontal="center"/>
    </xf>
    <xf numFmtId="0" fontId="1" fillId="7" borderId="16" xfId="3" applyFont="1" applyFill="1" applyBorder="1" applyAlignment="1">
      <alignment horizontal="center"/>
    </xf>
    <xf numFmtId="0" fontId="1" fillId="7" borderId="17" xfId="3" applyFont="1" applyFill="1" applyBorder="1" applyAlignment="1">
      <alignment horizontal="center"/>
    </xf>
    <xf numFmtId="0" fontId="1" fillId="0" borderId="1" xfId="3" applyFont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3" fillId="0" borderId="4" xfId="3" applyBorder="1" applyAlignment="1">
      <alignment horizontal="center" vertical="center"/>
    </xf>
    <xf numFmtId="0" fontId="3" fillId="0" borderId="11" xfId="3" applyBorder="1" applyAlignment="1">
      <alignment horizontal="center" vertical="center"/>
    </xf>
    <xf numFmtId="0" fontId="3" fillId="0" borderId="12" xfId="3" applyBorder="1" applyAlignment="1">
      <alignment horizontal="center" vertical="center"/>
    </xf>
    <xf numFmtId="0" fontId="3" fillId="0" borderId="4" xfId="3" applyBorder="1" applyAlignment="1">
      <alignment horizontal="left" vertical="top" shrinkToFit="1"/>
    </xf>
    <xf numFmtId="0" fontId="3" fillId="0" borderId="11" xfId="3" applyBorder="1" applyAlignment="1">
      <alignment horizontal="left" vertical="top" shrinkToFit="1"/>
    </xf>
    <xf numFmtId="0" fontId="3" fillId="0" borderId="1" xfId="3" applyBorder="1" applyAlignment="1">
      <alignment horizontal="left" vertical="center" shrinkToFit="1"/>
    </xf>
    <xf numFmtId="0" fontId="3" fillId="0" borderId="4" xfId="3" applyBorder="1" applyAlignment="1">
      <alignment horizontal="left" vertical="center" shrinkToFit="1"/>
    </xf>
    <xf numFmtId="0" fontId="3" fillId="0" borderId="11" xfId="3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0" fontId="1" fillId="2" borderId="14" xfId="3" applyFont="1" applyFill="1" applyBorder="1" applyAlignment="1">
      <alignment horizontal="center" vertical="center" shrinkToFit="1"/>
    </xf>
    <xf numFmtId="0" fontId="3" fillId="0" borderId="1" xfId="3" applyBorder="1" applyAlignment="1">
      <alignment horizontal="center" vertical="center" shrinkToFit="1"/>
    </xf>
    <xf numFmtId="0" fontId="3" fillId="0" borderId="4" xfId="3" applyBorder="1" applyAlignment="1">
      <alignment horizontal="center" vertical="center" shrinkToFit="1"/>
    </xf>
    <xf numFmtId="0" fontId="3" fillId="0" borderId="11" xfId="3" applyBorder="1" applyAlignment="1">
      <alignment horizontal="center" vertical="center" shrinkToFit="1"/>
    </xf>
    <xf numFmtId="0" fontId="3" fillId="0" borderId="1" xfId="3" applyBorder="1" applyAlignment="1">
      <alignment horizontal="left" vertical="center"/>
    </xf>
    <xf numFmtId="0" fontId="0" fillId="0" borderId="4" xfId="3" applyFont="1" applyBorder="1" applyAlignment="1">
      <alignment horizontal="center" vertical="center" shrinkToFit="1"/>
    </xf>
    <xf numFmtId="0" fontId="0" fillId="0" borderId="11" xfId="3" applyFont="1" applyBorder="1" applyAlignment="1">
      <alignment horizontal="center" vertical="center" shrinkToFit="1"/>
    </xf>
    <xf numFmtId="0" fontId="1" fillId="2" borderId="4" xfId="3" applyFont="1" applyFill="1" applyBorder="1" applyAlignment="1">
      <alignment horizontal="center" vertical="center" wrapText="1" shrinkToFit="1"/>
    </xf>
    <xf numFmtId="0" fontId="1" fillId="2" borderId="8" xfId="3" applyFont="1" applyFill="1" applyBorder="1" applyAlignment="1">
      <alignment horizontal="center" vertical="center" wrapText="1" shrinkToFit="1"/>
    </xf>
    <xf numFmtId="0" fontId="1" fillId="2" borderId="10" xfId="3" applyFont="1" applyFill="1" applyBorder="1" applyAlignment="1">
      <alignment horizontal="center" vertical="center" wrapText="1" shrinkToFit="1"/>
    </xf>
    <xf numFmtId="0" fontId="0" fillId="0" borderId="1" xfId="3" applyFont="1" applyBorder="1" applyAlignment="1">
      <alignment horizontal="center" vertical="center" shrinkToFit="1"/>
    </xf>
    <xf numFmtId="41" fontId="0" fillId="0" borderId="1" xfId="1" applyFont="1" applyFill="1" applyBorder="1" applyAlignment="1">
      <alignment horizontal="center" vertical="center" shrinkToFit="1"/>
    </xf>
    <xf numFmtId="0" fontId="12" fillId="2" borderId="4" xfId="3" applyFont="1" applyFill="1" applyBorder="1" applyAlignment="1">
      <alignment horizontal="center" vertical="center" wrapText="1" shrinkToFit="1"/>
    </xf>
    <xf numFmtId="0" fontId="12" fillId="2" borderId="8" xfId="3" applyFont="1" applyFill="1" applyBorder="1" applyAlignment="1">
      <alignment horizontal="center" vertical="center" wrapText="1" shrinkToFit="1"/>
    </xf>
    <xf numFmtId="0" fontId="12" fillId="2" borderId="10" xfId="3" applyFont="1" applyFill="1" applyBorder="1" applyAlignment="1">
      <alignment horizontal="center" vertical="center" wrapText="1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1" fillId="0" borderId="11" xfId="3" applyFont="1" applyBorder="1" applyAlignment="1">
      <alignment horizontal="center" vertical="center" shrinkToFit="1"/>
    </xf>
    <xf numFmtId="0" fontId="1" fillId="0" borderId="12" xfId="3" applyFont="1" applyBorder="1" applyAlignment="1">
      <alignment horizontal="center" vertical="center" shrinkToFit="1"/>
    </xf>
    <xf numFmtId="0" fontId="3" fillId="0" borderId="12" xfId="3" applyBorder="1" applyAlignment="1">
      <alignment horizontal="center" vertical="center" shrinkToFit="1"/>
    </xf>
    <xf numFmtId="0" fontId="1" fillId="2" borderId="4" xfId="3" applyFont="1" applyFill="1" applyBorder="1" applyAlignment="1">
      <alignment horizontal="center" vertical="center" shrinkToFit="1"/>
    </xf>
    <xf numFmtId="0" fontId="1" fillId="2" borderId="12" xfId="3" applyFont="1" applyFill="1" applyBorder="1" applyAlignment="1">
      <alignment horizontal="center" vertical="center" shrinkToFit="1"/>
    </xf>
    <xf numFmtId="0" fontId="1" fillId="2" borderId="11" xfId="3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2" xfId="3" applyFont="1" applyFill="1" applyBorder="1" applyAlignment="1">
      <alignment horizontal="center" vertical="center" shrinkToFit="1"/>
    </xf>
    <xf numFmtId="0" fontId="1" fillId="2" borderId="5" xfId="3" applyFont="1" applyFill="1" applyBorder="1" applyAlignment="1">
      <alignment horizontal="center" vertical="center" shrinkToFit="1"/>
    </xf>
    <xf numFmtId="0" fontId="1" fillId="2" borderId="9" xfId="3" applyFont="1" applyFill="1" applyBorder="1" applyAlignment="1">
      <alignment horizontal="center" vertical="center" shrinkToFit="1"/>
    </xf>
    <xf numFmtId="1" fontId="1" fillId="0" borderId="4" xfId="3" applyNumberFormat="1" applyFont="1" applyBorder="1" applyAlignment="1">
      <alignment horizontal="center" vertical="center" shrinkToFit="1"/>
    </xf>
    <xf numFmtId="1" fontId="1" fillId="0" borderId="11" xfId="3" applyNumberFormat="1" applyFont="1" applyBorder="1" applyAlignment="1">
      <alignment horizontal="center" vertical="center" shrinkToFit="1"/>
    </xf>
    <xf numFmtId="1" fontId="1" fillId="0" borderId="12" xfId="3" applyNumberFormat="1" applyFont="1" applyBorder="1" applyAlignment="1">
      <alignment horizontal="center" vertical="center" shrinkToFit="1"/>
    </xf>
    <xf numFmtId="1" fontId="1" fillId="0" borderId="1" xfId="3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center"/>
    </xf>
    <xf numFmtId="164" fontId="3" fillId="0" borderId="1" xfId="3" applyNumberFormat="1" applyBorder="1" applyAlignment="1">
      <alignment horizontal="center" vertical="center"/>
    </xf>
    <xf numFmtId="164" fontId="3" fillId="0" borderId="0" xfId="3" applyNumberFormat="1" applyAlignment="1">
      <alignment horizontal="center" vertical="center"/>
    </xf>
  </cellXfs>
  <cellStyles count="4">
    <cellStyle name="Comma [0]" xfId="1" builtinId="6"/>
    <cellStyle name="Comma 2" xfId="2" xr:uid="{00000000-0005-0000-0000-000031000000}"/>
    <cellStyle name="Normal" xfId="0" builtinId="0"/>
    <cellStyle name="Normal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AZ134"/>
  <sheetViews>
    <sheetView view="pageBreakPreview" zoomScale="60" zoomScaleNormal="70" workbookViewId="0">
      <pane xSplit="4" ySplit="8" topLeftCell="I39" activePane="bottomRight" state="frozen"/>
      <selection pane="topRight"/>
      <selection pane="bottomLeft"/>
      <selection pane="bottomRight" activeCell="AM6" sqref="AM6:AM8"/>
    </sheetView>
  </sheetViews>
  <sheetFormatPr defaultColWidth="8.85546875" defaultRowHeight="15"/>
  <cols>
    <col min="1" max="1" width="4.140625" style="61" customWidth="1"/>
    <col min="2" max="2" width="25.140625" style="61" customWidth="1"/>
    <col min="3" max="3" width="34" style="61" customWidth="1"/>
    <col min="4" max="4" width="5.85546875" style="32" customWidth="1"/>
    <col min="5" max="25" width="6.140625" style="61" customWidth="1"/>
    <col min="26" max="26" width="4.85546875" style="61" customWidth="1"/>
    <col min="27" max="27" width="4.7109375" style="61" customWidth="1"/>
    <col min="28" max="28" width="5" style="61" customWidth="1"/>
    <col min="29" max="29" width="4.7109375" style="61" customWidth="1"/>
    <col min="30" max="30" width="4.85546875" style="61" customWidth="1"/>
    <col min="31" max="31" width="5.42578125" style="61" customWidth="1"/>
    <col min="32" max="33" width="5" style="61" customWidth="1"/>
    <col min="34" max="34" width="5.5703125" style="61" customWidth="1"/>
    <col min="35" max="35" width="5.85546875" style="61" customWidth="1"/>
    <col min="36" max="36" width="6.140625" style="61" customWidth="1"/>
    <col min="37" max="37" width="5" style="61" customWidth="1"/>
    <col min="38" max="38" width="5" style="64" customWidth="1"/>
    <col min="39" max="39" width="4" style="65" customWidth="1"/>
    <col min="40" max="40" width="7.140625" style="61" hidden="1" customWidth="1"/>
    <col min="41" max="41" width="10.5703125" style="61" hidden="1" customWidth="1"/>
    <col min="42" max="43" width="8.85546875" style="61" hidden="1" customWidth="1"/>
    <col min="44" max="44" width="10.85546875" style="61" hidden="1" customWidth="1"/>
    <col min="45" max="45" width="8.85546875" style="61" hidden="1" customWidth="1"/>
    <col min="46" max="46" width="5.140625" style="61" hidden="1" customWidth="1"/>
    <col min="47" max="47" width="1.5703125" style="61" customWidth="1"/>
    <col min="48" max="48" width="18.5703125" style="61" customWidth="1"/>
    <col min="49" max="49" width="12.140625" style="61" customWidth="1"/>
    <col min="50" max="51" width="8.85546875" style="61"/>
    <col min="52" max="52" width="12.140625" style="61" customWidth="1"/>
    <col min="53" max="16384" width="8.85546875" style="61"/>
  </cols>
  <sheetData>
    <row r="1" spans="1:46" s="63" customFormat="1" ht="15.75">
      <c r="A1" s="94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</row>
    <row r="2" spans="1:46" s="63" customFormat="1" ht="15.75">
      <c r="A2" s="94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</row>
    <row r="3" spans="1:46" s="63" customFormat="1" ht="15.75">
      <c r="A3" s="94" t="s">
        <v>2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</row>
    <row r="4" spans="1:46" s="63" customFormat="1" ht="15.75">
      <c r="A4" s="94" t="s">
        <v>3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</row>
    <row r="5" spans="1:46" ht="15.75">
      <c r="A5" s="63"/>
      <c r="B5" s="63"/>
      <c r="C5" s="66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8"/>
      <c r="P5" s="67"/>
      <c r="Q5" s="67"/>
      <c r="R5" s="67"/>
      <c r="S5" s="67"/>
      <c r="T5" s="67"/>
      <c r="U5" s="67"/>
      <c r="V5" s="67"/>
      <c r="W5" s="67"/>
      <c r="X5" s="67"/>
      <c r="Y5" s="67"/>
      <c r="Z5" s="68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8"/>
      <c r="AL5" s="67"/>
      <c r="AM5" s="69"/>
      <c r="AN5" s="67"/>
      <c r="AO5" s="67"/>
      <c r="AP5" s="67"/>
      <c r="AQ5" s="67"/>
      <c r="AR5" s="67"/>
      <c r="AS5" s="67"/>
      <c r="AT5" s="67"/>
    </row>
    <row r="6" spans="1:46">
      <c r="A6" s="107" t="s">
        <v>4</v>
      </c>
      <c r="B6" s="107" t="s">
        <v>5</v>
      </c>
      <c r="C6" s="107" t="s">
        <v>6</v>
      </c>
      <c r="D6" s="117" t="s">
        <v>7</v>
      </c>
      <c r="E6" s="95" t="s">
        <v>8</v>
      </c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125" t="s">
        <v>9</v>
      </c>
      <c r="AM6" s="130" t="s">
        <v>10</v>
      </c>
      <c r="AN6" s="141" t="s">
        <v>11</v>
      </c>
      <c r="AO6" s="141"/>
      <c r="AP6" s="141"/>
      <c r="AQ6" s="141"/>
      <c r="AR6" s="141"/>
      <c r="AS6" s="141"/>
      <c r="AT6" s="138" t="s">
        <v>12</v>
      </c>
    </row>
    <row r="7" spans="1:46">
      <c r="A7" s="107"/>
      <c r="B7" s="107"/>
      <c r="C7" s="107"/>
      <c r="D7" s="118"/>
      <c r="E7" s="97" t="s">
        <v>13</v>
      </c>
      <c r="F7" s="98"/>
      <c r="G7" s="98"/>
      <c r="H7" s="98"/>
      <c r="I7" s="98"/>
      <c r="J7" s="98"/>
      <c r="K7" s="98"/>
      <c r="L7" s="98"/>
      <c r="M7" s="98"/>
      <c r="N7" s="98"/>
      <c r="O7" s="99"/>
      <c r="P7" s="100" t="s">
        <v>14</v>
      </c>
      <c r="Q7" s="101"/>
      <c r="R7" s="101"/>
      <c r="S7" s="101"/>
      <c r="T7" s="101"/>
      <c r="U7" s="101"/>
      <c r="V7" s="101"/>
      <c r="W7" s="101"/>
      <c r="X7" s="101"/>
      <c r="Y7" s="101"/>
      <c r="Z7" s="102"/>
      <c r="AA7" s="103" t="s">
        <v>15</v>
      </c>
      <c r="AB7" s="104"/>
      <c r="AC7" s="104"/>
      <c r="AD7" s="104"/>
      <c r="AE7" s="104"/>
      <c r="AF7" s="104"/>
      <c r="AG7" s="104"/>
      <c r="AH7" s="104"/>
      <c r="AI7" s="104"/>
      <c r="AJ7" s="104"/>
      <c r="AK7" s="105"/>
      <c r="AL7" s="126"/>
      <c r="AM7" s="131"/>
      <c r="AN7" s="141"/>
      <c r="AO7" s="141"/>
      <c r="AP7" s="141"/>
      <c r="AQ7" s="141"/>
      <c r="AR7" s="141"/>
      <c r="AS7" s="141"/>
      <c r="AT7" s="139"/>
    </row>
    <row r="8" spans="1:46" ht="45">
      <c r="A8" s="107"/>
      <c r="B8" s="107"/>
      <c r="C8" s="107"/>
      <c r="D8" s="118"/>
      <c r="E8" s="8" t="s">
        <v>16</v>
      </c>
      <c r="F8" s="9" t="s">
        <v>17</v>
      </c>
      <c r="G8" s="9" t="s">
        <v>18</v>
      </c>
      <c r="H8" s="9" t="s">
        <v>19</v>
      </c>
      <c r="I8" s="9" t="s">
        <v>20</v>
      </c>
      <c r="J8" s="9" t="s">
        <v>21</v>
      </c>
      <c r="K8" s="9" t="s">
        <v>22</v>
      </c>
      <c r="L8" s="9" t="s">
        <v>23</v>
      </c>
      <c r="M8" s="9" t="s">
        <v>24</v>
      </c>
      <c r="N8" s="9" t="s">
        <v>25</v>
      </c>
      <c r="O8" s="10" t="s">
        <v>26</v>
      </c>
      <c r="P8" s="8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10" t="s">
        <v>26</v>
      </c>
      <c r="AA8" s="8" t="s">
        <v>16</v>
      </c>
      <c r="AB8" s="9" t="s">
        <v>17</v>
      </c>
      <c r="AC8" s="9" t="s">
        <v>18</v>
      </c>
      <c r="AD8" s="9" t="s">
        <v>19</v>
      </c>
      <c r="AE8" s="9" t="s">
        <v>20</v>
      </c>
      <c r="AF8" s="9" t="s">
        <v>21</v>
      </c>
      <c r="AG8" s="9" t="s">
        <v>22</v>
      </c>
      <c r="AH8" s="9" t="s">
        <v>23</v>
      </c>
      <c r="AI8" s="9" t="s">
        <v>24</v>
      </c>
      <c r="AJ8" s="9" t="s">
        <v>25</v>
      </c>
      <c r="AK8" s="10" t="s">
        <v>26</v>
      </c>
      <c r="AL8" s="127"/>
      <c r="AM8" s="132"/>
      <c r="AN8" s="70" t="s">
        <v>27</v>
      </c>
      <c r="AO8" s="70" t="s">
        <v>28</v>
      </c>
      <c r="AP8" s="70" t="s">
        <v>29</v>
      </c>
      <c r="AQ8" s="70" t="s">
        <v>30</v>
      </c>
      <c r="AR8" s="70" t="s">
        <v>31</v>
      </c>
      <c r="AS8" s="70" t="s">
        <v>32</v>
      </c>
      <c r="AT8" s="140"/>
    </row>
    <row r="9" spans="1:46" ht="16.7" customHeight="1">
      <c r="A9" s="108">
        <v>1</v>
      </c>
      <c r="B9" s="15" t="s">
        <v>33</v>
      </c>
      <c r="C9" s="114" t="s">
        <v>34</v>
      </c>
      <c r="D9" s="119" t="s">
        <v>35</v>
      </c>
      <c r="E9" s="122"/>
      <c r="F9" s="119"/>
      <c r="G9" s="108">
        <v>4</v>
      </c>
      <c r="H9" s="108">
        <v>4</v>
      </c>
      <c r="I9" s="108"/>
      <c r="J9" s="108"/>
      <c r="K9" s="108"/>
      <c r="L9" s="108"/>
      <c r="M9" s="108"/>
      <c r="N9" s="108"/>
      <c r="O9" s="108">
        <v>4</v>
      </c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28">
        <f>SUM(E9:AK10)</f>
        <v>12</v>
      </c>
      <c r="AM9" s="133">
        <f>SUM(AL9)</f>
        <v>12</v>
      </c>
      <c r="AN9" s="119">
        <v>2</v>
      </c>
      <c r="AO9" s="119">
        <v>12</v>
      </c>
      <c r="AP9" s="119">
        <v>0</v>
      </c>
      <c r="AQ9" s="119">
        <v>0</v>
      </c>
      <c r="AR9" s="119">
        <v>0</v>
      </c>
      <c r="AS9" s="119">
        <v>0</v>
      </c>
      <c r="AT9" s="133">
        <f>SUM(AM9:AS10)</f>
        <v>26</v>
      </c>
    </row>
    <row r="10" spans="1:46" ht="16.7" customHeight="1">
      <c r="A10" s="108"/>
      <c r="B10" s="18" t="s">
        <v>36</v>
      </c>
      <c r="C10" s="114"/>
      <c r="D10" s="119"/>
      <c r="E10" s="122"/>
      <c r="F10" s="119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28"/>
      <c r="AM10" s="133"/>
      <c r="AN10" s="119"/>
      <c r="AO10" s="119"/>
      <c r="AP10" s="119"/>
      <c r="AQ10" s="119"/>
      <c r="AR10" s="119"/>
      <c r="AS10" s="119"/>
      <c r="AT10" s="133"/>
    </row>
    <row r="11" spans="1:46" ht="16.7" customHeight="1">
      <c r="A11" s="108">
        <v>2</v>
      </c>
      <c r="B11" s="15" t="s">
        <v>37</v>
      </c>
      <c r="C11" s="19" t="s">
        <v>38</v>
      </c>
      <c r="D11" s="72" t="s">
        <v>39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>
        <v>3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24">
        <f>SUM(E11:AK11)</f>
        <v>3</v>
      </c>
      <c r="AM11" s="134">
        <f>SUM(AL11:AL12)</f>
        <v>27</v>
      </c>
      <c r="AN11" s="119">
        <v>2</v>
      </c>
      <c r="AO11" s="119">
        <v>0</v>
      </c>
      <c r="AP11" s="119">
        <v>0</v>
      </c>
      <c r="AQ11" s="119">
        <v>2</v>
      </c>
      <c r="AR11" s="119">
        <v>0</v>
      </c>
      <c r="AS11" s="120">
        <v>1</v>
      </c>
      <c r="AT11" s="133">
        <f>SUM(AM11:AS12)</f>
        <v>32</v>
      </c>
    </row>
    <row r="12" spans="1:46" ht="16.7" customHeight="1">
      <c r="A12" s="108"/>
      <c r="B12" s="18" t="s">
        <v>40</v>
      </c>
      <c r="C12" s="19" t="s">
        <v>41</v>
      </c>
      <c r="D12" s="72" t="s">
        <v>42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>
        <v>24</v>
      </c>
      <c r="AL12" s="24">
        <f>SUM(E12:AK12)</f>
        <v>24</v>
      </c>
      <c r="AM12" s="135"/>
      <c r="AN12" s="119"/>
      <c r="AO12" s="119"/>
      <c r="AP12" s="119"/>
      <c r="AQ12" s="119"/>
      <c r="AR12" s="119"/>
      <c r="AS12" s="121"/>
      <c r="AT12" s="133"/>
    </row>
    <row r="13" spans="1:46" ht="16.7" customHeight="1">
      <c r="A13" s="108">
        <v>3</v>
      </c>
      <c r="B13" s="15" t="s">
        <v>43</v>
      </c>
      <c r="C13" s="71" t="s">
        <v>44</v>
      </c>
      <c r="D13" s="72" t="s">
        <v>45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5</v>
      </c>
      <c r="Q13" s="14">
        <v>5</v>
      </c>
      <c r="R13" s="14"/>
      <c r="S13" s="14"/>
      <c r="T13" s="14"/>
      <c r="U13" s="14"/>
      <c r="V13" s="14"/>
      <c r="W13" s="14"/>
      <c r="X13" s="14"/>
      <c r="Y13" s="14"/>
      <c r="Z13" s="14"/>
      <c r="AA13" s="74"/>
      <c r="AB13" s="74"/>
      <c r="AC13" s="14"/>
      <c r="AD13" s="14"/>
      <c r="AE13" s="14"/>
      <c r="AF13" s="14"/>
      <c r="AG13" s="14"/>
      <c r="AH13" s="14"/>
      <c r="AI13" s="14"/>
      <c r="AJ13" s="14"/>
      <c r="AK13" s="14"/>
      <c r="AL13" s="24">
        <f>SUM(E13:AK13)</f>
        <v>10</v>
      </c>
      <c r="AM13" s="134">
        <f>SUM(AL13:AL14)</f>
        <v>26</v>
      </c>
      <c r="AN13" s="119">
        <v>2</v>
      </c>
      <c r="AO13" s="119">
        <v>0</v>
      </c>
      <c r="AP13" s="119">
        <v>0</v>
      </c>
      <c r="AQ13" s="119">
        <v>0</v>
      </c>
      <c r="AR13" s="119">
        <v>0</v>
      </c>
      <c r="AS13" s="120">
        <v>1</v>
      </c>
      <c r="AT13" s="133">
        <f>SUM(AM13:AS14)</f>
        <v>29</v>
      </c>
    </row>
    <row r="14" spans="1:46" ht="16.7" customHeight="1">
      <c r="A14" s="108"/>
      <c r="B14" s="19" t="s">
        <v>46</v>
      </c>
      <c r="C14" s="71" t="s">
        <v>41</v>
      </c>
      <c r="D14" s="72" t="s">
        <v>47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74"/>
      <c r="AB14" s="74">
        <v>16</v>
      </c>
      <c r="AC14" s="14"/>
      <c r="AD14" s="14"/>
      <c r="AE14" s="14"/>
      <c r="AF14" s="14"/>
      <c r="AG14" s="14"/>
      <c r="AH14" s="14"/>
      <c r="AI14" s="14"/>
      <c r="AJ14" s="14"/>
      <c r="AK14" s="14"/>
      <c r="AL14" s="24">
        <f>SUM(E14:AK14)</f>
        <v>16</v>
      </c>
      <c r="AM14" s="135"/>
      <c r="AN14" s="119"/>
      <c r="AO14" s="119"/>
      <c r="AP14" s="119"/>
      <c r="AQ14" s="119"/>
      <c r="AR14" s="119"/>
      <c r="AS14" s="121"/>
      <c r="AT14" s="133"/>
    </row>
    <row r="15" spans="1:46" ht="16.7" customHeight="1">
      <c r="A15" s="108">
        <v>4</v>
      </c>
      <c r="B15" s="15" t="s">
        <v>48</v>
      </c>
      <c r="C15" s="114" t="s">
        <v>38</v>
      </c>
      <c r="D15" s="119" t="s">
        <v>49</v>
      </c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>
        <v>3</v>
      </c>
      <c r="S15" s="108">
        <v>3</v>
      </c>
      <c r="T15" s="108">
        <v>3</v>
      </c>
      <c r="U15" s="108">
        <v>3</v>
      </c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28">
        <f>SUM(E15:AK16)</f>
        <v>12</v>
      </c>
      <c r="AM15" s="133">
        <f t="shared" ref="AM15" si="0">SUM(AL15)</f>
        <v>12</v>
      </c>
      <c r="AN15" s="119">
        <v>2</v>
      </c>
      <c r="AO15" s="119">
        <v>12</v>
      </c>
      <c r="AP15" s="119">
        <v>0</v>
      </c>
      <c r="AQ15" s="119">
        <v>0</v>
      </c>
      <c r="AR15" s="119">
        <v>0</v>
      </c>
      <c r="AS15" s="119">
        <v>0</v>
      </c>
      <c r="AT15" s="133">
        <f>SUM(AM15:AS16)</f>
        <v>26</v>
      </c>
    </row>
    <row r="16" spans="1:46" ht="16.7" customHeight="1">
      <c r="A16" s="108"/>
      <c r="B16" s="18" t="s">
        <v>50</v>
      </c>
      <c r="C16" s="114"/>
      <c r="D16" s="119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28"/>
      <c r="AM16" s="133"/>
      <c r="AN16" s="119"/>
      <c r="AO16" s="119"/>
      <c r="AP16" s="119"/>
      <c r="AQ16" s="119"/>
      <c r="AR16" s="119"/>
      <c r="AS16" s="119"/>
      <c r="AT16" s="133"/>
    </row>
    <row r="17" spans="1:47" ht="16.7" customHeight="1">
      <c r="A17" s="108">
        <v>5</v>
      </c>
      <c r="B17" s="15" t="s">
        <v>51</v>
      </c>
      <c r="C17" s="19" t="s">
        <v>52</v>
      </c>
      <c r="D17" s="72" t="s">
        <v>53</v>
      </c>
      <c r="E17" s="14"/>
      <c r="F17" s="14"/>
      <c r="G17" s="14"/>
      <c r="H17" s="14"/>
      <c r="I17" s="14"/>
      <c r="J17" s="14"/>
      <c r="K17" s="14"/>
      <c r="L17" s="14"/>
      <c r="M17" s="14">
        <v>6</v>
      </c>
      <c r="N17" s="14">
        <v>6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24">
        <f>SUM(E17:AK17)</f>
        <v>12</v>
      </c>
      <c r="AM17" s="133">
        <f>SUM(AL17:AL18)</f>
        <v>24</v>
      </c>
      <c r="AN17" s="119">
        <v>2</v>
      </c>
      <c r="AO17" s="119">
        <v>0</v>
      </c>
      <c r="AP17" s="119">
        <v>0</v>
      </c>
      <c r="AQ17" s="119">
        <v>0</v>
      </c>
      <c r="AR17" s="119">
        <v>0</v>
      </c>
      <c r="AS17" s="120">
        <v>1</v>
      </c>
      <c r="AT17" s="133">
        <f>SUM(AM17:AS18)</f>
        <v>27</v>
      </c>
    </row>
    <row r="18" spans="1:47" ht="16.7" customHeight="1">
      <c r="A18" s="108"/>
      <c r="B18" s="20" t="s">
        <v>54</v>
      </c>
      <c r="C18" s="19" t="s">
        <v>55</v>
      </c>
      <c r="D18" s="72" t="s">
        <v>56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>
        <v>8</v>
      </c>
      <c r="Y18" s="14">
        <v>4</v>
      </c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24">
        <f>SUM(E18:AK18)</f>
        <v>12</v>
      </c>
      <c r="AM18" s="133"/>
      <c r="AN18" s="119"/>
      <c r="AO18" s="119"/>
      <c r="AP18" s="119"/>
      <c r="AQ18" s="119"/>
      <c r="AR18" s="119"/>
      <c r="AS18" s="121"/>
      <c r="AT18" s="133"/>
      <c r="AU18" s="65"/>
    </row>
    <row r="19" spans="1:47" ht="16.7" customHeight="1">
      <c r="A19" s="108">
        <v>6</v>
      </c>
      <c r="B19" s="15" t="s">
        <v>57</v>
      </c>
      <c r="C19" s="114" t="s">
        <v>58</v>
      </c>
      <c r="D19" s="119" t="s">
        <v>59</v>
      </c>
      <c r="E19" s="108"/>
      <c r="F19" s="108"/>
      <c r="G19" s="108">
        <v>3</v>
      </c>
      <c r="H19" s="108">
        <v>3</v>
      </c>
      <c r="I19" s="108">
        <v>3</v>
      </c>
      <c r="J19" s="108">
        <v>3</v>
      </c>
      <c r="K19" s="108">
        <v>3</v>
      </c>
      <c r="L19" s="108">
        <v>3</v>
      </c>
      <c r="M19" s="108">
        <v>3</v>
      </c>
      <c r="N19" s="108">
        <v>3</v>
      </c>
      <c r="O19" s="108">
        <v>3</v>
      </c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28">
        <f>SUM(E19:AK20)</f>
        <v>27</v>
      </c>
      <c r="AM19" s="133">
        <f>SUM(AL19:AL20)</f>
        <v>27</v>
      </c>
      <c r="AN19" s="119">
        <v>2</v>
      </c>
      <c r="AO19" s="119">
        <v>0</v>
      </c>
      <c r="AP19" s="119">
        <v>0</v>
      </c>
      <c r="AQ19" s="119">
        <v>0</v>
      </c>
      <c r="AR19" s="119">
        <v>0</v>
      </c>
      <c r="AS19" s="119">
        <v>0</v>
      </c>
      <c r="AT19" s="133">
        <f>SUM(AM19:AS20)</f>
        <v>29</v>
      </c>
      <c r="AU19" s="65"/>
    </row>
    <row r="20" spans="1:47" ht="16.7" customHeight="1">
      <c r="A20" s="108"/>
      <c r="B20" s="20" t="s">
        <v>60</v>
      </c>
      <c r="C20" s="114"/>
      <c r="D20" s="119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28"/>
      <c r="AM20" s="133"/>
      <c r="AN20" s="119"/>
      <c r="AO20" s="119"/>
      <c r="AP20" s="119"/>
      <c r="AQ20" s="119"/>
      <c r="AR20" s="119"/>
      <c r="AS20" s="119"/>
      <c r="AT20" s="133"/>
      <c r="AU20" s="65"/>
    </row>
    <row r="21" spans="1:47" ht="16.7" customHeight="1">
      <c r="A21" s="108">
        <v>7</v>
      </c>
      <c r="B21" s="15" t="s">
        <v>61</v>
      </c>
      <c r="C21" s="71" t="s">
        <v>62</v>
      </c>
      <c r="D21" s="72" t="s">
        <v>63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</v>
      </c>
      <c r="Q21" s="14">
        <v>3</v>
      </c>
      <c r="R21" s="14"/>
      <c r="S21" s="14"/>
      <c r="T21" s="14"/>
      <c r="U21" s="14"/>
      <c r="V21" s="14">
        <v>3</v>
      </c>
      <c r="W21" s="14">
        <v>3</v>
      </c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24">
        <f>SUM(E21:AK21)</f>
        <v>12</v>
      </c>
      <c r="AM21" s="133">
        <f>SUM(AL21:AL22)</f>
        <v>24</v>
      </c>
      <c r="AN21" s="119">
        <v>2</v>
      </c>
      <c r="AO21" s="119">
        <v>0</v>
      </c>
      <c r="AP21" s="119">
        <v>0</v>
      </c>
      <c r="AQ21" s="119">
        <v>0</v>
      </c>
      <c r="AR21" s="119">
        <v>0</v>
      </c>
      <c r="AS21" s="120">
        <v>1</v>
      </c>
      <c r="AT21" s="133">
        <f>SUM(AM21:AS22)</f>
        <v>27</v>
      </c>
      <c r="AU21" s="65"/>
    </row>
    <row r="22" spans="1:47" ht="16.7" customHeight="1">
      <c r="A22" s="108"/>
      <c r="B22" s="20" t="s">
        <v>64</v>
      </c>
      <c r="C22" s="71" t="s">
        <v>41</v>
      </c>
      <c r="D22" s="72" t="s">
        <v>65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>
        <v>12</v>
      </c>
      <c r="AE22" s="14"/>
      <c r="AF22" s="14"/>
      <c r="AG22" s="14"/>
      <c r="AH22" s="14"/>
      <c r="AI22" s="14"/>
      <c r="AJ22" s="14"/>
      <c r="AK22" s="14"/>
      <c r="AL22" s="24">
        <f>SUM(E22:AK22)</f>
        <v>12</v>
      </c>
      <c r="AM22" s="133"/>
      <c r="AN22" s="119"/>
      <c r="AO22" s="119"/>
      <c r="AP22" s="119"/>
      <c r="AQ22" s="119"/>
      <c r="AR22" s="119"/>
      <c r="AS22" s="121"/>
      <c r="AT22" s="133"/>
      <c r="AU22" s="65"/>
    </row>
    <row r="23" spans="1:47" ht="16.7" customHeight="1">
      <c r="A23" s="108">
        <v>8</v>
      </c>
      <c r="B23" s="15" t="s">
        <v>66</v>
      </c>
      <c r="C23" s="114" t="s">
        <v>67</v>
      </c>
      <c r="D23" s="119" t="s">
        <v>68</v>
      </c>
      <c r="E23" s="108"/>
      <c r="F23" s="108"/>
      <c r="G23" s="108"/>
      <c r="H23" s="108"/>
      <c r="I23" s="108"/>
      <c r="J23" s="108">
        <v>6</v>
      </c>
      <c r="K23" s="108"/>
      <c r="L23" s="108"/>
      <c r="M23" s="108">
        <v>6</v>
      </c>
      <c r="N23" s="108">
        <v>6</v>
      </c>
      <c r="O23" s="108">
        <v>6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28">
        <f>SUM(E23:AK24)</f>
        <v>24</v>
      </c>
      <c r="AM23" s="133">
        <f>SUM(AL23:AL24)</f>
        <v>24</v>
      </c>
      <c r="AN23" s="119">
        <v>2</v>
      </c>
      <c r="AO23" s="119">
        <v>0</v>
      </c>
      <c r="AP23" s="119">
        <v>0</v>
      </c>
      <c r="AQ23" s="119">
        <v>0</v>
      </c>
      <c r="AR23" s="119">
        <v>2</v>
      </c>
      <c r="AS23" s="120">
        <v>1</v>
      </c>
      <c r="AT23" s="133">
        <f>SUM(AM23:AS24)</f>
        <v>29</v>
      </c>
      <c r="AU23" s="65"/>
    </row>
    <row r="24" spans="1:47" ht="16.7" customHeight="1">
      <c r="A24" s="108"/>
      <c r="B24" s="20" t="s">
        <v>69</v>
      </c>
      <c r="C24" s="114"/>
      <c r="D24" s="119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28"/>
      <c r="AM24" s="133"/>
      <c r="AN24" s="119"/>
      <c r="AO24" s="119"/>
      <c r="AP24" s="119"/>
      <c r="AQ24" s="119"/>
      <c r="AR24" s="119"/>
      <c r="AS24" s="121"/>
      <c r="AT24" s="133"/>
      <c r="AU24" s="65"/>
    </row>
    <row r="25" spans="1:47" ht="16.7" customHeight="1">
      <c r="A25" s="108">
        <v>9</v>
      </c>
      <c r="B25" s="25" t="s">
        <v>70</v>
      </c>
      <c r="C25" s="16" t="s">
        <v>71</v>
      </c>
      <c r="D25" s="72" t="s">
        <v>72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>
        <v>4</v>
      </c>
      <c r="W25" s="14">
        <v>4</v>
      </c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24">
        <f>SUM(E25:AK25)</f>
        <v>8</v>
      </c>
      <c r="AM25" s="134">
        <f>SUM(AL25:AL27)</f>
        <v>36</v>
      </c>
      <c r="AN25" s="120">
        <v>2</v>
      </c>
      <c r="AO25" s="120">
        <v>0</v>
      </c>
      <c r="AP25" s="120">
        <v>12</v>
      </c>
      <c r="AQ25" s="120">
        <v>0</v>
      </c>
      <c r="AR25" s="120">
        <v>0</v>
      </c>
      <c r="AS25" s="120">
        <v>0</v>
      </c>
      <c r="AT25" s="133">
        <f>SUM(AM25:AS27)</f>
        <v>50</v>
      </c>
    </row>
    <row r="26" spans="1:47" ht="16.7" customHeight="1">
      <c r="A26" s="108"/>
      <c r="B26" s="112" t="s">
        <v>73</v>
      </c>
      <c r="C26" s="71" t="s">
        <v>41</v>
      </c>
      <c r="D26" s="72" t="s">
        <v>74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>
        <v>22</v>
      </c>
      <c r="AI26" s="14"/>
      <c r="AJ26" s="14"/>
      <c r="AK26" s="14"/>
      <c r="AL26" s="24">
        <f>SUM(E26:AK26)</f>
        <v>22</v>
      </c>
      <c r="AM26" s="136"/>
      <c r="AN26" s="137"/>
      <c r="AO26" s="137"/>
      <c r="AP26" s="137"/>
      <c r="AQ26" s="137"/>
      <c r="AR26" s="137"/>
      <c r="AS26" s="137"/>
      <c r="AT26" s="133"/>
    </row>
    <row r="27" spans="1:47" ht="16.7" customHeight="1">
      <c r="A27" s="108"/>
      <c r="B27" s="113"/>
      <c r="C27" s="71" t="s">
        <v>75</v>
      </c>
      <c r="D27" s="72" t="s">
        <v>76</v>
      </c>
      <c r="E27" s="14"/>
      <c r="F27" s="14"/>
      <c r="G27" s="14"/>
      <c r="H27" s="14"/>
      <c r="I27" s="14"/>
      <c r="J27" s="14"/>
      <c r="K27" s="14">
        <v>2</v>
      </c>
      <c r="L27" s="14">
        <v>2</v>
      </c>
      <c r="M27" s="14"/>
      <c r="N27" s="14"/>
      <c r="O27" s="14">
        <v>2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24">
        <f>SUM(E27:AK27)</f>
        <v>6</v>
      </c>
      <c r="AM27" s="136"/>
      <c r="AN27" s="137"/>
      <c r="AO27" s="137"/>
      <c r="AP27" s="137"/>
      <c r="AQ27" s="137"/>
      <c r="AR27" s="137"/>
      <c r="AS27" s="137"/>
      <c r="AT27" s="133"/>
    </row>
    <row r="28" spans="1:47" ht="16.7" customHeight="1">
      <c r="A28" s="108">
        <v>10</v>
      </c>
      <c r="B28" s="15" t="s">
        <v>77</v>
      </c>
      <c r="C28" s="115" t="s">
        <v>78</v>
      </c>
      <c r="D28" s="120" t="s">
        <v>79</v>
      </c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>
        <v>12</v>
      </c>
      <c r="S28" s="120">
        <v>12</v>
      </c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8">
        <f>SUM(E28:AK29)</f>
        <v>24</v>
      </c>
      <c r="AM28" s="133">
        <f t="shared" ref="AM28" si="1">SUM(AL28:AL29)</f>
        <v>24</v>
      </c>
      <c r="AN28" s="119">
        <v>2</v>
      </c>
      <c r="AO28" s="119">
        <v>0</v>
      </c>
      <c r="AP28" s="119">
        <v>0</v>
      </c>
      <c r="AQ28" s="119">
        <v>0</v>
      </c>
      <c r="AR28" s="119">
        <v>0</v>
      </c>
      <c r="AS28" s="120">
        <v>1</v>
      </c>
      <c r="AT28" s="133">
        <f>SUM(AM28:AS29)</f>
        <v>27</v>
      </c>
    </row>
    <row r="29" spans="1:47" ht="16.7" customHeight="1">
      <c r="A29" s="108"/>
      <c r="B29" s="20" t="s">
        <v>80</v>
      </c>
      <c r="C29" s="116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8"/>
      <c r="AM29" s="133"/>
      <c r="AN29" s="119"/>
      <c r="AO29" s="119"/>
      <c r="AP29" s="119"/>
      <c r="AQ29" s="119"/>
      <c r="AR29" s="119"/>
      <c r="AS29" s="121"/>
      <c r="AT29" s="133"/>
    </row>
    <row r="30" spans="1:47" ht="16.7" customHeight="1">
      <c r="A30" s="108">
        <v>11</v>
      </c>
      <c r="B30" s="15" t="s">
        <v>81</v>
      </c>
      <c r="C30" s="114" t="s">
        <v>34</v>
      </c>
      <c r="D30" s="119" t="s">
        <v>82</v>
      </c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>
        <v>4</v>
      </c>
      <c r="U30" s="108">
        <v>4</v>
      </c>
      <c r="V30" s="108">
        <v>4</v>
      </c>
      <c r="W30" s="108">
        <v>4</v>
      </c>
      <c r="X30" s="108">
        <v>4</v>
      </c>
      <c r="Y30" s="108">
        <v>4</v>
      </c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28">
        <f>SUM(E30:AK31)</f>
        <v>24</v>
      </c>
      <c r="AM30" s="133">
        <f t="shared" ref="AM30" si="2">SUM(AL30:AL31)</f>
        <v>24</v>
      </c>
      <c r="AN30" s="119">
        <v>2</v>
      </c>
      <c r="AO30" s="119">
        <v>0</v>
      </c>
      <c r="AP30" s="119">
        <v>0</v>
      </c>
      <c r="AQ30" s="119">
        <v>0</v>
      </c>
      <c r="AR30" s="119">
        <v>2</v>
      </c>
      <c r="AS30" s="120">
        <v>1</v>
      </c>
      <c r="AT30" s="133">
        <f>SUM(AM30:AS31)</f>
        <v>29</v>
      </c>
    </row>
    <row r="31" spans="1:47" ht="16.7" customHeight="1">
      <c r="A31" s="108"/>
      <c r="B31" s="18" t="s">
        <v>83</v>
      </c>
      <c r="C31" s="114"/>
      <c r="D31" s="119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28"/>
      <c r="AM31" s="133"/>
      <c r="AN31" s="119"/>
      <c r="AO31" s="119"/>
      <c r="AP31" s="119"/>
      <c r="AQ31" s="119"/>
      <c r="AR31" s="119"/>
      <c r="AS31" s="121"/>
      <c r="AT31" s="133"/>
    </row>
    <row r="32" spans="1:47" ht="16.7" customHeight="1">
      <c r="A32" s="108">
        <v>12</v>
      </c>
      <c r="B32" s="15" t="s">
        <v>84</v>
      </c>
      <c r="C32" s="19" t="s">
        <v>62</v>
      </c>
      <c r="D32" s="72" t="s">
        <v>85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>
        <v>3</v>
      </c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24">
        <f>SUM(E32:AK32)</f>
        <v>3</v>
      </c>
      <c r="AM32" s="133">
        <f t="shared" ref="AM32" si="3">SUM(AL32:AL33)</f>
        <v>24</v>
      </c>
      <c r="AN32" s="119">
        <v>2</v>
      </c>
      <c r="AO32" s="119">
        <v>0</v>
      </c>
      <c r="AP32" s="119">
        <v>0</v>
      </c>
      <c r="AQ32" s="119">
        <v>0</v>
      </c>
      <c r="AR32" s="119">
        <v>0</v>
      </c>
      <c r="AS32" s="119">
        <v>1</v>
      </c>
      <c r="AT32" s="133">
        <f>SUM(AM32:AS33)</f>
        <v>27</v>
      </c>
    </row>
    <row r="33" spans="1:48" ht="16.7" customHeight="1">
      <c r="A33" s="108"/>
      <c r="B33" s="20" t="s">
        <v>86</v>
      </c>
      <c r="C33" s="19" t="s">
        <v>41</v>
      </c>
      <c r="D33" s="72" t="s">
        <v>87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>
        <v>21</v>
      </c>
      <c r="AJ33" s="14"/>
      <c r="AK33" s="14"/>
      <c r="AL33" s="24">
        <f>SUM(E33:AK33)</f>
        <v>21</v>
      </c>
      <c r="AM33" s="133"/>
      <c r="AN33" s="119"/>
      <c r="AO33" s="119"/>
      <c r="AP33" s="119"/>
      <c r="AQ33" s="119"/>
      <c r="AR33" s="119"/>
      <c r="AS33" s="119"/>
      <c r="AT33" s="133"/>
    </row>
    <row r="34" spans="1:48" ht="16.7" customHeight="1">
      <c r="A34" s="108">
        <v>13</v>
      </c>
      <c r="B34" s="15" t="s">
        <v>88</v>
      </c>
      <c r="C34" s="114" t="s">
        <v>67</v>
      </c>
      <c r="D34" s="119" t="s">
        <v>89</v>
      </c>
      <c r="E34" s="108">
        <v>6</v>
      </c>
      <c r="F34" s="108">
        <v>6</v>
      </c>
      <c r="G34" s="108">
        <v>6</v>
      </c>
      <c r="H34" s="108">
        <v>6</v>
      </c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28">
        <f>SUM(E34:AK35)</f>
        <v>24</v>
      </c>
      <c r="AM34" s="133">
        <f t="shared" ref="AM34" si="4">SUM(AL34:AL35)</f>
        <v>24</v>
      </c>
      <c r="AN34" s="119">
        <v>2</v>
      </c>
      <c r="AO34" s="119">
        <v>0</v>
      </c>
      <c r="AP34" s="119">
        <v>0</v>
      </c>
      <c r="AQ34" s="119">
        <v>2</v>
      </c>
      <c r="AR34" s="119">
        <v>0</v>
      </c>
      <c r="AS34" s="119">
        <v>1</v>
      </c>
      <c r="AT34" s="133">
        <f>SUM(AM34:AS35)</f>
        <v>29</v>
      </c>
    </row>
    <row r="35" spans="1:48" ht="16.7" customHeight="1">
      <c r="A35" s="108"/>
      <c r="B35" s="18" t="s">
        <v>90</v>
      </c>
      <c r="C35" s="114"/>
      <c r="D35" s="119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28"/>
      <c r="AM35" s="133"/>
      <c r="AN35" s="119"/>
      <c r="AO35" s="119"/>
      <c r="AP35" s="119"/>
      <c r="AQ35" s="119"/>
      <c r="AR35" s="119"/>
      <c r="AS35" s="119"/>
      <c r="AT35" s="133"/>
    </row>
    <row r="36" spans="1:48" ht="16.7" customHeight="1">
      <c r="A36" s="108">
        <v>14</v>
      </c>
      <c r="B36" s="15" t="s">
        <v>91</v>
      </c>
      <c r="C36" s="71" t="s">
        <v>34</v>
      </c>
      <c r="D36" s="72" t="s">
        <v>92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>
        <v>4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24">
        <f>SUM(E36:AK36)</f>
        <v>4</v>
      </c>
      <c r="AM36" s="133">
        <f t="shared" ref="AM36" si="5">SUM(AL36:AL37)</f>
        <v>30</v>
      </c>
      <c r="AN36" s="119">
        <v>2</v>
      </c>
      <c r="AO36" s="119">
        <v>0</v>
      </c>
      <c r="AP36" s="119">
        <v>0</v>
      </c>
      <c r="AQ36" s="119">
        <v>0</v>
      </c>
      <c r="AR36" s="119">
        <v>0</v>
      </c>
      <c r="AS36" s="119">
        <v>0</v>
      </c>
      <c r="AT36" s="133">
        <f>SUM(AM36:AS37)</f>
        <v>32</v>
      </c>
    </row>
    <row r="37" spans="1:48" ht="16.7" customHeight="1">
      <c r="A37" s="108"/>
      <c r="B37" s="20" t="s">
        <v>93</v>
      </c>
      <c r="C37" s="19" t="s">
        <v>41</v>
      </c>
      <c r="D37" s="72" t="s">
        <v>94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>
        <v>26</v>
      </c>
      <c r="AH37" s="14"/>
      <c r="AI37" s="14"/>
      <c r="AJ37" s="14"/>
      <c r="AK37" s="14"/>
      <c r="AL37" s="24">
        <f>SUM(E37:AK37)</f>
        <v>26</v>
      </c>
      <c r="AM37" s="133"/>
      <c r="AN37" s="119"/>
      <c r="AO37" s="119"/>
      <c r="AP37" s="119"/>
      <c r="AQ37" s="119"/>
      <c r="AR37" s="119"/>
      <c r="AS37" s="119"/>
      <c r="AT37" s="133"/>
    </row>
    <row r="38" spans="1:48" ht="16.7" customHeight="1">
      <c r="A38" s="108">
        <v>15</v>
      </c>
      <c r="B38" s="15" t="s">
        <v>95</v>
      </c>
      <c r="C38" s="115" t="s">
        <v>38</v>
      </c>
      <c r="D38" s="120" t="s">
        <v>96</v>
      </c>
      <c r="E38" s="108">
        <v>3</v>
      </c>
      <c r="F38" s="108">
        <v>3</v>
      </c>
      <c r="G38" s="108">
        <v>3</v>
      </c>
      <c r="H38" s="108">
        <v>3</v>
      </c>
      <c r="I38" s="108">
        <v>3</v>
      </c>
      <c r="J38" s="108">
        <v>3</v>
      </c>
      <c r="K38" s="108">
        <v>3</v>
      </c>
      <c r="L38" s="108">
        <v>3</v>
      </c>
      <c r="M38" s="108">
        <v>3</v>
      </c>
      <c r="N38" s="108">
        <v>3</v>
      </c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28">
        <f>SUM(E38:AK39)</f>
        <v>30</v>
      </c>
      <c r="AM38" s="133">
        <f t="shared" ref="AM38" si="6">SUM(AL38:AL39)</f>
        <v>30</v>
      </c>
      <c r="AN38" s="119">
        <v>2</v>
      </c>
      <c r="AO38" s="119">
        <v>0</v>
      </c>
      <c r="AP38" s="119">
        <v>0</v>
      </c>
      <c r="AQ38" s="119">
        <v>0</v>
      </c>
      <c r="AR38" s="119">
        <v>0</v>
      </c>
      <c r="AS38" s="119">
        <v>0</v>
      </c>
      <c r="AT38" s="133">
        <f>SUM(AM38:AS39)</f>
        <v>32</v>
      </c>
    </row>
    <row r="39" spans="1:48" ht="16.7" customHeight="1">
      <c r="A39" s="108"/>
      <c r="B39" s="20" t="s">
        <v>97</v>
      </c>
      <c r="C39" s="116"/>
      <c r="D39" s="121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28"/>
      <c r="AM39" s="133"/>
      <c r="AN39" s="119"/>
      <c r="AO39" s="119"/>
      <c r="AP39" s="119"/>
      <c r="AQ39" s="119"/>
      <c r="AR39" s="119"/>
      <c r="AS39" s="119"/>
      <c r="AT39" s="133"/>
      <c r="AV39" s="75"/>
    </row>
    <row r="40" spans="1:48" ht="16.7" customHeight="1">
      <c r="A40" s="108">
        <v>16</v>
      </c>
      <c r="B40" s="15" t="s">
        <v>98</v>
      </c>
      <c r="C40" s="19" t="s">
        <v>99</v>
      </c>
      <c r="D40" s="72" t="s">
        <v>100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3</v>
      </c>
      <c r="Q40" s="14">
        <v>3</v>
      </c>
      <c r="R40" s="14"/>
      <c r="S40" s="14"/>
      <c r="T40" s="14">
        <v>3</v>
      </c>
      <c r="U40" s="14">
        <v>3</v>
      </c>
      <c r="V40" s="14">
        <v>3</v>
      </c>
      <c r="W40" s="14">
        <v>3</v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24">
        <f t="shared" ref="AL40:AL52" si="7">SUM(E40:AK40)</f>
        <v>18</v>
      </c>
      <c r="AM40" s="133">
        <f>SUM(AL40:AL41)</f>
        <v>30</v>
      </c>
      <c r="AN40" s="119">
        <v>2</v>
      </c>
      <c r="AO40" s="119">
        <v>0</v>
      </c>
      <c r="AP40" s="119">
        <v>0</v>
      </c>
      <c r="AQ40" s="119">
        <v>0</v>
      </c>
      <c r="AR40" s="119">
        <v>2</v>
      </c>
      <c r="AS40" s="119">
        <v>0</v>
      </c>
      <c r="AT40" s="133">
        <f>SUM(AM40:AS41)</f>
        <v>34</v>
      </c>
      <c r="AV40" s="75"/>
    </row>
    <row r="41" spans="1:48" ht="16.7" customHeight="1">
      <c r="A41" s="108"/>
      <c r="B41" s="18" t="s">
        <v>101</v>
      </c>
      <c r="C41" s="19" t="s">
        <v>41</v>
      </c>
      <c r="D41" s="72" t="s">
        <v>102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>
        <v>12</v>
      </c>
      <c r="AE41" s="14"/>
      <c r="AF41" s="14"/>
      <c r="AG41" s="14"/>
      <c r="AH41" s="14"/>
      <c r="AI41" s="14"/>
      <c r="AJ41" s="14"/>
      <c r="AK41" s="14"/>
      <c r="AL41" s="24">
        <f t="shared" si="7"/>
        <v>12</v>
      </c>
      <c r="AM41" s="133"/>
      <c r="AN41" s="119"/>
      <c r="AO41" s="119"/>
      <c r="AP41" s="119"/>
      <c r="AQ41" s="119"/>
      <c r="AR41" s="119"/>
      <c r="AS41" s="119"/>
      <c r="AT41" s="133"/>
      <c r="AV41" s="75"/>
    </row>
    <row r="42" spans="1:48" ht="16.7" customHeight="1">
      <c r="A42" s="108">
        <v>17</v>
      </c>
      <c r="B42" s="15" t="s">
        <v>103</v>
      </c>
      <c r="C42" s="71" t="s">
        <v>99</v>
      </c>
      <c r="D42" s="72" t="s">
        <v>104</v>
      </c>
      <c r="E42" s="14"/>
      <c r="F42" s="14"/>
      <c r="G42" s="14"/>
      <c r="H42" s="14"/>
      <c r="I42" s="14"/>
      <c r="J42" s="14"/>
      <c r="K42" s="14">
        <v>4</v>
      </c>
      <c r="L42" s="14">
        <v>4</v>
      </c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24">
        <f t="shared" si="7"/>
        <v>8</v>
      </c>
      <c r="AM42" s="133">
        <f t="shared" ref="AM42" si="8">SUM(AL42:AL43)</f>
        <v>34</v>
      </c>
      <c r="AN42" s="119">
        <v>2</v>
      </c>
      <c r="AO42" s="119">
        <v>0</v>
      </c>
      <c r="AP42" s="119">
        <v>0</v>
      </c>
      <c r="AQ42" s="119">
        <v>0</v>
      </c>
      <c r="AR42" s="119">
        <v>0</v>
      </c>
      <c r="AS42" s="119">
        <v>0</v>
      </c>
      <c r="AT42" s="133">
        <f>SUM(AM42:AS43)</f>
        <v>36</v>
      </c>
      <c r="AV42" s="75"/>
    </row>
    <row r="43" spans="1:48" ht="16.7" customHeight="1">
      <c r="A43" s="108"/>
      <c r="B43" s="23" t="s">
        <v>105</v>
      </c>
      <c r="C43" s="71" t="s">
        <v>41</v>
      </c>
      <c r="D43" s="72" t="s">
        <v>106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>
        <v>26</v>
      </c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24">
        <f t="shared" si="7"/>
        <v>26</v>
      </c>
      <c r="AM43" s="133"/>
      <c r="AN43" s="119"/>
      <c r="AO43" s="119"/>
      <c r="AP43" s="119"/>
      <c r="AQ43" s="119"/>
      <c r="AR43" s="119"/>
      <c r="AS43" s="119"/>
      <c r="AT43" s="133"/>
      <c r="AV43" s="75"/>
    </row>
    <row r="44" spans="1:48" ht="16.7" customHeight="1">
      <c r="A44" s="108">
        <v>18</v>
      </c>
      <c r="B44" s="15" t="s">
        <v>107</v>
      </c>
      <c r="C44" s="19" t="s">
        <v>108</v>
      </c>
      <c r="D44" s="14" t="s">
        <v>109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5</v>
      </c>
      <c r="Q44" s="14">
        <v>5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24">
        <f t="shared" si="7"/>
        <v>10</v>
      </c>
      <c r="AM44" s="133">
        <f>SUM(AL44:AL45)</f>
        <v>26</v>
      </c>
      <c r="AN44" s="119">
        <v>2</v>
      </c>
      <c r="AO44" s="119">
        <v>0</v>
      </c>
      <c r="AP44" s="119">
        <v>0</v>
      </c>
      <c r="AQ44" s="119">
        <v>0</v>
      </c>
      <c r="AR44" s="119">
        <v>0</v>
      </c>
      <c r="AS44" s="119">
        <v>1</v>
      </c>
      <c r="AT44" s="133">
        <f>SUM(AM44:AS45)</f>
        <v>29</v>
      </c>
    </row>
    <row r="45" spans="1:48" ht="16.7" customHeight="1">
      <c r="A45" s="108"/>
      <c r="B45" s="20" t="s">
        <v>110</v>
      </c>
      <c r="C45" s="71" t="s">
        <v>41</v>
      </c>
      <c r="D45" s="14" t="s">
        <v>111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>
        <v>16</v>
      </c>
      <c r="AC45" s="14"/>
      <c r="AD45" s="14"/>
      <c r="AE45" s="14"/>
      <c r="AF45" s="14"/>
      <c r="AG45" s="14"/>
      <c r="AH45" s="14"/>
      <c r="AI45" s="14"/>
      <c r="AJ45" s="14"/>
      <c r="AK45" s="14"/>
      <c r="AL45" s="24">
        <f t="shared" si="7"/>
        <v>16</v>
      </c>
      <c r="AM45" s="133"/>
      <c r="AN45" s="119"/>
      <c r="AO45" s="119"/>
      <c r="AP45" s="119"/>
      <c r="AQ45" s="119"/>
      <c r="AR45" s="119"/>
      <c r="AS45" s="119"/>
      <c r="AT45" s="133"/>
    </row>
    <row r="46" spans="1:48" ht="16.7" customHeight="1">
      <c r="A46" s="108">
        <v>19</v>
      </c>
      <c r="B46" s="15" t="s">
        <v>112</v>
      </c>
      <c r="C46" s="71" t="s">
        <v>38</v>
      </c>
      <c r="D46" s="72" t="s">
        <v>113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>
        <v>3</v>
      </c>
      <c r="Y46" s="72">
        <v>3</v>
      </c>
      <c r="Z46" s="72">
        <v>3</v>
      </c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24">
        <f t="shared" si="7"/>
        <v>9</v>
      </c>
      <c r="AM46" s="133">
        <f t="shared" ref="AM46" si="9">SUM(AL46:AL47)</f>
        <v>23</v>
      </c>
      <c r="AN46" s="119">
        <v>2</v>
      </c>
      <c r="AO46" s="119">
        <v>12</v>
      </c>
      <c r="AP46" s="119">
        <v>0</v>
      </c>
      <c r="AQ46" s="119">
        <v>0</v>
      </c>
      <c r="AR46" s="119">
        <v>0</v>
      </c>
      <c r="AS46" s="119">
        <v>0</v>
      </c>
      <c r="AT46" s="133">
        <f>SUM(AM46:AS47)</f>
        <v>37</v>
      </c>
    </row>
    <row r="47" spans="1:48" ht="16.7" customHeight="1">
      <c r="A47" s="108"/>
      <c r="B47" s="23" t="s">
        <v>114</v>
      </c>
      <c r="C47" s="71" t="s">
        <v>41</v>
      </c>
      <c r="D47" s="72" t="s">
        <v>115</v>
      </c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>
        <v>14</v>
      </c>
      <c r="AF47" s="72"/>
      <c r="AG47" s="72"/>
      <c r="AH47" s="72"/>
      <c r="AI47" s="72"/>
      <c r="AJ47" s="72"/>
      <c r="AK47" s="72"/>
      <c r="AL47" s="24">
        <f t="shared" si="7"/>
        <v>14</v>
      </c>
      <c r="AM47" s="133"/>
      <c r="AN47" s="119"/>
      <c r="AO47" s="119"/>
      <c r="AP47" s="119"/>
      <c r="AQ47" s="119"/>
      <c r="AR47" s="119"/>
      <c r="AS47" s="119"/>
      <c r="AT47" s="133"/>
    </row>
    <row r="48" spans="1:48" ht="16.7" customHeight="1">
      <c r="A48" s="108">
        <v>20</v>
      </c>
      <c r="B48" s="21" t="s">
        <v>116</v>
      </c>
      <c r="C48" s="71" t="s">
        <v>44</v>
      </c>
      <c r="D48" s="72" t="s">
        <v>117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4</v>
      </c>
      <c r="Q48" s="14">
        <v>4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24">
        <f t="shared" si="7"/>
        <v>8</v>
      </c>
      <c r="AM48" s="133">
        <f>SUM(AL48:AL50)</f>
        <v>34</v>
      </c>
      <c r="AN48" s="119">
        <v>2</v>
      </c>
      <c r="AO48" s="119">
        <v>0</v>
      </c>
      <c r="AP48" s="119">
        <v>12</v>
      </c>
      <c r="AQ48" s="119">
        <v>0</v>
      </c>
      <c r="AR48" s="119">
        <v>0</v>
      </c>
      <c r="AS48" s="119">
        <v>0</v>
      </c>
      <c r="AT48" s="133">
        <f>SUM(AM48:AS50)</f>
        <v>48</v>
      </c>
    </row>
    <row r="49" spans="1:46" ht="16.7" customHeight="1">
      <c r="A49" s="108"/>
      <c r="B49" s="23" t="s">
        <v>118</v>
      </c>
      <c r="C49" s="71" t="s">
        <v>119</v>
      </c>
      <c r="D49" s="72" t="s">
        <v>120</v>
      </c>
      <c r="E49" s="14">
        <v>3</v>
      </c>
      <c r="F49" s="14">
        <v>3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24">
        <f t="shared" si="7"/>
        <v>6</v>
      </c>
      <c r="AM49" s="133"/>
      <c r="AN49" s="119"/>
      <c r="AO49" s="119"/>
      <c r="AP49" s="119"/>
      <c r="AQ49" s="119"/>
      <c r="AR49" s="119"/>
      <c r="AS49" s="119"/>
      <c r="AT49" s="133"/>
    </row>
    <row r="50" spans="1:46" ht="16.7" customHeight="1">
      <c r="A50" s="108"/>
      <c r="B50" s="23"/>
      <c r="C50" s="71" t="s">
        <v>41</v>
      </c>
      <c r="D50" s="72" t="s">
        <v>121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>
        <v>20</v>
      </c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24">
        <f t="shared" si="7"/>
        <v>20</v>
      </c>
      <c r="AM50" s="133"/>
      <c r="AN50" s="119"/>
      <c r="AO50" s="119"/>
      <c r="AP50" s="119"/>
      <c r="AQ50" s="119"/>
      <c r="AR50" s="119"/>
      <c r="AS50" s="119"/>
      <c r="AT50" s="133"/>
    </row>
    <row r="51" spans="1:46" ht="16.7" customHeight="1">
      <c r="A51" s="108">
        <v>21</v>
      </c>
      <c r="B51" s="15" t="s">
        <v>122</v>
      </c>
      <c r="C51" s="76" t="s">
        <v>55</v>
      </c>
      <c r="D51" s="72" t="s">
        <v>123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>
        <v>4</v>
      </c>
      <c r="Y51" s="72">
        <v>8</v>
      </c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24">
        <f t="shared" si="7"/>
        <v>12</v>
      </c>
      <c r="AM51" s="133">
        <f t="shared" ref="AM51" si="10">SUM(AL51:AL52)</f>
        <v>31</v>
      </c>
      <c r="AN51" s="119">
        <v>2</v>
      </c>
      <c r="AO51" s="119">
        <v>0</v>
      </c>
      <c r="AP51" s="119">
        <v>12</v>
      </c>
      <c r="AQ51" s="119">
        <v>0</v>
      </c>
      <c r="AR51" s="119">
        <v>0</v>
      </c>
      <c r="AS51" s="119">
        <v>0</v>
      </c>
      <c r="AT51" s="133">
        <f>SUM(AM51:AS52)</f>
        <v>45</v>
      </c>
    </row>
    <row r="52" spans="1:46" ht="16.7" customHeight="1">
      <c r="A52" s="108"/>
      <c r="B52" s="23" t="s">
        <v>124</v>
      </c>
      <c r="C52" s="71" t="s">
        <v>41</v>
      </c>
      <c r="D52" s="72" t="s">
        <v>125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>
        <v>19</v>
      </c>
      <c r="AJ52" s="72"/>
      <c r="AK52" s="72"/>
      <c r="AL52" s="24">
        <f t="shared" si="7"/>
        <v>19</v>
      </c>
      <c r="AM52" s="133"/>
      <c r="AN52" s="119"/>
      <c r="AO52" s="119"/>
      <c r="AP52" s="119"/>
      <c r="AQ52" s="119"/>
      <c r="AR52" s="119"/>
      <c r="AS52" s="119"/>
      <c r="AT52" s="133"/>
    </row>
    <row r="53" spans="1:46" ht="16.7" customHeight="1">
      <c r="A53" s="108">
        <v>22</v>
      </c>
      <c r="B53" s="15" t="s">
        <v>126</v>
      </c>
      <c r="C53" s="76" t="s">
        <v>34</v>
      </c>
      <c r="D53" s="17" t="s">
        <v>127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>
        <v>4</v>
      </c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24">
        <f t="shared" ref="AL53:AL54" si="11">SUM(E53:AK53)</f>
        <v>4</v>
      </c>
      <c r="AM53" s="133">
        <f t="shared" ref="AM53" si="12">SUM(AL53:AL54)</f>
        <v>28</v>
      </c>
      <c r="AN53" s="119">
        <v>2</v>
      </c>
      <c r="AO53" s="119">
        <v>12</v>
      </c>
      <c r="AP53" s="119">
        <v>0</v>
      </c>
      <c r="AQ53" s="119">
        <v>0</v>
      </c>
      <c r="AR53" s="119">
        <v>0</v>
      </c>
      <c r="AS53" s="119">
        <v>0</v>
      </c>
      <c r="AT53" s="133">
        <f>SUM(AM53:AS54)</f>
        <v>42</v>
      </c>
    </row>
    <row r="54" spans="1:46" ht="16.7" customHeight="1">
      <c r="A54" s="108"/>
      <c r="B54" s="23" t="s">
        <v>128</v>
      </c>
      <c r="C54" s="71" t="s">
        <v>41</v>
      </c>
      <c r="D54" s="72" t="s">
        <v>125</v>
      </c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>
        <v>24</v>
      </c>
      <c r="AK54" s="72"/>
      <c r="AL54" s="24">
        <f t="shared" si="11"/>
        <v>24</v>
      </c>
      <c r="AM54" s="133"/>
      <c r="AN54" s="119"/>
      <c r="AO54" s="119"/>
      <c r="AP54" s="119"/>
      <c r="AQ54" s="119"/>
      <c r="AR54" s="119"/>
      <c r="AS54" s="119"/>
      <c r="AT54" s="133"/>
    </row>
    <row r="55" spans="1:46" ht="16.7" customHeight="1">
      <c r="A55" s="108">
        <v>23</v>
      </c>
      <c r="B55" s="15" t="s">
        <v>129</v>
      </c>
      <c r="C55" s="115" t="s">
        <v>58</v>
      </c>
      <c r="D55" s="120" t="s">
        <v>130</v>
      </c>
      <c r="E55" s="120">
        <v>3</v>
      </c>
      <c r="F55" s="120">
        <v>3</v>
      </c>
      <c r="G55" s="120"/>
      <c r="H55" s="120"/>
      <c r="I55" s="120"/>
      <c r="J55" s="120"/>
      <c r="K55" s="120"/>
      <c r="L55" s="120"/>
      <c r="M55" s="120"/>
      <c r="N55" s="120"/>
      <c r="O55" s="120"/>
      <c r="P55" s="120">
        <v>2</v>
      </c>
      <c r="Q55" s="120">
        <v>2</v>
      </c>
      <c r="R55" s="120">
        <v>2</v>
      </c>
      <c r="S55" s="120">
        <v>2</v>
      </c>
      <c r="T55" s="120">
        <v>2</v>
      </c>
      <c r="U55" s="120">
        <v>2</v>
      </c>
      <c r="V55" s="120">
        <v>2</v>
      </c>
      <c r="W55" s="120">
        <v>2</v>
      </c>
      <c r="X55" s="120">
        <v>2</v>
      </c>
      <c r="Y55" s="120">
        <v>2</v>
      </c>
      <c r="Z55" s="120">
        <v>2</v>
      </c>
      <c r="AA55" s="120"/>
      <c r="AB55" s="120"/>
      <c r="AC55" s="120"/>
      <c r="AD55" s="120"/>
      <c r="AE55" s="120"/>
      <c r="AF55" s="120"/>
      <c r="AG55" s="120"/>
      <c r="AH55" s="120"/>
      <c r="AI55" s="120"/>
      <c r="AJ55" s="120"/>
      <c r="AK55" s="120"/>
      <c r="AL55" s="128">
        <f>SUM(E55:AK56)</f>
        <v>28</v>
      </c>
      <c r="AM55" s="133">
        <f t="shared" ref="AM55" si="13">SUM(AL55:AL56)</f>
        <v>28</v>
      </c>
      <c r="AN55" s="119">
        <v>2</v>
      </c>
      <c r="AO55" s="119">
        <v>0</v>
      </c>
      <c r="AP55" s="119">
        <v>0</v>
      </c>
      <c r="AQ55" s="119">
        <v>0</v>
      </c>
      <c r="AR55" s="119">
        <v>0</v>
      </c>
      <c r="AS55" s="119">
        <v>0</v>
      </c>
      <c r="AT55" s="133">
        <f>SUM(AM55:AS56)</f>
        <v>30</v>
      </c>
    </row>
    <row r="56" spans="1:46" ht="16.7" customHeight="1">
      <c r="A56" s="108"/>
      <c r="B56" s="23" t="s">
        <v>131</v>
      </c>
      <c r="C56" s="116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8"/>
      <c r="AM56" s="133"/>
      <c r="AN56" s="119"/>
      <c r="AO56" s="119"/>
      <c r="AP56" s="119"/>
      <c r="AQ56" s="119"/>
      <c r="AR56" s="119"/>
      <c r="AS56" s="119"/>
      <c r="AT56" s="133"/>
    </row>
    <row r="57" spans="1:46" ht="16.7" customHeight="1">
      <c r="A57" s="108">
        <v>24</v>
      </c>
      <c r="B57" s="26" t="s">
        <v>132</v>
      </c>
      <c r="C57" s="115" t="s">
        <v>34</v>
      </c>
      <c r="D57" s="120" t="s">
        <v>133</v>
      </c>
      <c r="E57" s="120"/>
      <c r="F57" s="120"/>
      <c r="G57" s="120"/>
      <c r="H57" s="120"/>
      <c r="I57" s="120">
        <v>4</v>
      </c>
      <c r="J57" s="120">
        <v>4</v>
      </c>
      <c r="K57" s="120">
        <v>4</v>
      </c>
      <c r="L57" s="120">
        <v>4</v>
      </c>
      <c r="M57" s="120">
        <v>4</v>
      </c>
      <c r="N57" s="120">
        <v>4</v>
      </c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  <c r="AI57" s="120"/>
      <c r="AJ57" s="120"/>
      <c r="AK57" s="120"/>
      <c r="AL57" s="128">
        <f>SUM(E57:AK58)</f>
        <v>24</v>
      </c>
      <c r="AM57" s="133">
        <f>SUM(AL57:AL58)</f>
        <v>24</v>
      </c>
      <c r="AN57" s="119">
        <v>2</v>
      </c>
      <c r="AO57" s="119">
        <v>0</v>
      </c>
      <c r="AP57" s="119">
        <v>0</v>
      </c>
      <c r="AQ57" s="119">
        <v>0</v>
      </c>
      <c r="AR57" s="119">
        <v>0</v>
      </c>
      <c r="AS57" s="119">
        <v>0</v>
      </c>
      <c r="AT57" s="133">
        <f>SUM(AM57:AS58)</f>
        <v>26</v>
      </c>
    </row>
    <row r="58" spans="1:46" ht="16.7" customHeight="1">
      <c r="A58" s="108"/>
      <c r="B58" s="23" t="s">
        <v>134</v>
      </c>
      <c r="C58" s="116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8"/>
      <c r="AM58" s="133"/>
      <c r="AN58" s="119"/>
      <c r="AO58" s="119"/>
      <c r="AP58" s="119"/>
      <c r="AQ58" s="119"/>
      <c r="AR58" s="119"/>
      <c r="AS58" s="119"/>
      <c r="AT58" s="133"/>
    </row>
    <row r="59" spans="1:46" ht="16.7" customHeight="1">
      <c r="A59" s="108">
        <v>25</v>
      </c>
      <c r="B59" s="26" t="s">
        <v>135</v>
      </c>
      <c r="C59" s="115" t="s">
        <v>136</v>
      </c>
      <c r="D59" s="120" t="s">
        <v>137</v>
      </c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  <c r="AI59" s="120"/>
      <c r="AJ59" s="120"/>
      <c r="AK59" s="120"/>
      <c r="AL59" s="129">
        <f>SUM(E59:AK60)</f>
        <v>0</v>
      </c>
      <c r="AM59" s="133" t="s">
        <v>138</v>
      </c>
      <c r="AN59" s="119">
        <v>2</v>
      </c>
      <c r="AO59" s="119">
        <v>0</v>
      </c>
      <c r="AP59" s="119">
        <v>0</v>
      </c>
      <c r="AQ59" s="119">
        <v>0</v>
      </c>
      <c r="AR59" s="119">
        <v>0</v>
      </c>
      <c r="AS59" s="119">
        <v>0</v>
      </c>
      <c r="AT59" s="133">
        <f>SUM(AM59:AS60)</f>
        <v>2</v>
      </c>
    </row>
    <row r="60" spans="1:46" ht="16.7" customHeight="1">
      <c r="A60" s="108"/>
      <c r="B60" s="23" t="s">
        <v>139</v>
      </c>
      <c r="C60" s="116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9"/>
      <c r="AM60" s="133"/>
      <c r="AN60" s="119"/>
      <c r="AO60" s="119"/>
      <c r="AP60" s="119"/>
      <c r="AQ60" s="119"/>
      <c r="AR60" s="119"/>
      <c r="AS60" s="119"/>
      <c r="AT60" s="133"/>
    </row>
    <row r="61" spans="1:46" ht="16.7" customHeight="1">
      <c r="A61" s="108">
        <v>26</v>
      </c>
      <c r="B61" s="21" t="s">
        <v>140</v>
      </c>
      <c r="C61" s="71" t="s">
        <v>41</v>
      </c>
      <c r="D61" s="72" t="s">
        <v>141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>
        <v>22</v>
      </c>
      <c r="AL61" s="24">
        <f t="shared" ref="AL61:AL89" si="14">SUM(E61:AK61)</f>
        <v>22</v>
      </c>
      <c r="AM61" s="133">
        <f t="shared" ref="AM61" si="15">SUM(AL61:AL63)</f>
        <v>40</v>
      </c>
      <c r="AN61" s="119">
        <v>2</v>
      </c>
      <c r="AO61" s="119">
        <v>0</v>
      </c>
      <c r="AP61" s="119">
        <v>12</v>
      </c>
      <c r="AQ61" s="119">
        <v>0</v>
      </c>
      <c r="AR61" s="119">
        <v>0</v>
      </c>
      <c r="AS61" s="119">
        <v>0</v>
      </c>
      <c r="AT61" s="133">
        <f>SUM(AM61:AS63)</f>
        <v>54</v>
      </c>
    </row>
    <row r="62" spans="1:46" ht="16.7" customHeight="1">
      <c r="A62" s="108"/>
      <c r="B62" s="23" t="s">
        <v>142</v>
      </c>
      <c r="C62" s="71" t="s">
        <v>143</v>
      </c>
      <c r="D62" s="72" t="s">
        <v>144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>
        <v>12</v>
      </c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24">
        <f t="shared" ref="AL62" si="16">SUM(E62:AK62)</f>
        <v>12</v>
      </c>
      <c r="AM62" s="133"/>
      <c r="AN62" s="119"/>
      <c r="AO62" s="119"/>
      <c r="AP62" s="119"/>
      <c r="AQ62" s="119"/>
      <c r="AR62" s="119"/>
      <c r="AS62" s="119"/>
      <c r="AT62" s="133"/>
    </row>
    <row r="63" spans="1:46" ht="16.7" customHeight="1">
      <c r="A63" s="108"/>
      <c r="B63" s="23"/>
      <c r="C63" s="71" t="s">
        <v>145</v>
      </c>
      <c r="D63" s="72" t="s">
        <v>146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>
        <v>6</v>
      </c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24">
        <f t="shared" si="14"/>
        <v>6</v>
      </c>
      <c r="AM63" s="133"/>
      <c r="AN63" s="119"/>
      <c r="AO63" s="119"/>
      <c r="AP63" s="119"/>
      <c r="AQ63" s="119"/>
      <c r="AR63" s="119"/>
      <c r="AS63" s="119"/>
      <c r="AT63" s="133"/>
    </row>
    <row r="64" spans="1:46" ht="16.7" customHeight="1">
      <c r="A64" s="108">
        <v>27</v>
      </c>
      <c r="B64" s="25" t="s">
        <v>147</v>
      </c>
      <c r="C64" s="71" t="s">
        <v>67</v>
      </c>
      <c r="D64" s="72" t="s">
        <v>148</v>
      </c>
      <c r="E64" s="14"/>
      <c r="F64" s="14"/>
      <c r="G64" s="14"/>
      <c r="H64" s="14"/>
      <c r="I64" s="14">
        <v>6</v>
      </c>
      <c r="J64" s="14"/>
      <c r="K64" s="14">
        <v>6</v>
      </c>
      <c r="L64" s="14">
        <v>6</v>
      </c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24">
        <f t="shared" si="14"/>
        <v>18</v>
      </c>
      <c r="AM64" s="133">
        <f t="shared" ref="AM64" si="17">SUM(AL64:AL65)</f>
        <v>24</v>
      </c>
      <c r="AN64" s="119">
        <v>2</v>
      </c>
      <c r="AO64" s="119">
        <v>0</v>
      </c>
      <c r="AP64" s="119">
        <v>0</v>
      </c>
      <c r="AQ64" s="119">
        <v>0</v>
      </c>
      <c r="AR64" s="119">
        <v>0</v>
      </c>
      <c r="AS64" s="119">
        <v>0</v>
      </c>
      <c r="AT64" s="133">
        <f>SUM(AM64:AS65)</f>
        <v>26</v>
      </c>
    </row>
    <row r="65" spans="1:46" ht="16.7" customHeight="1">
      <c r="A65" s="108"/>
      <c r="B65" s="22" t="s">
        <v>149</v>
      </c>
      <c r="C65" s="19" t="s">
        <v>41</v>
      </c>
      <c r="D65" s="72" t="s">
        <v>150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>
        <v>6</v>
      </c>
      <c r="AJ65" s="14"/>
      <c r="AK65" s="14"/>
      <c r="AL65" s="24">
        <f t="shared" si="14"/>
        <v>6</v>
      </c>
      <c r="AM65" s="133"/>
      <c r="AN65" s="119"/>
      <c r="AO65" s="119"/>
      <c r="AP65" s="119"/>
      <c r="AQ65" s="119"/>
      <c r="AR65" s="119"/>
      <c r="AS65" s="119"/>
      <c r="AT65" s="133"/>
    </row>
    <row r="66" spans="1:46" ht="16.7" customHeight="1">
      <c r="A66" s="108">
        <v>28</v>
      </c>
      <c r="B66" s="15" t="s">
        <v>151</v>
      </c>
      <c r="C66" s="19" t="s">
        <v>108</v>
      </c>
      <c r="D66" s="72" t="s">
        <v>152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>
        <v>5</v>
      </c>
      <c r="S66" s="14">
        <v>5</v>
      </c>
      <c r="T66" s="14"/>
      <c r="U66" s="14"/>
      <c r="V66" s="14"/>
      <c r="W66" s="14"/>
      <c r="X66" s="14"/>
      <c r="Y66" s="14"/>
      <c r="Z66" s="14">
        <v>5</v>
      </c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24">
        <f t="shared" si="14"/>
        <v>15</v>
      </c>
      <c r="AM66" s="133">
        <f>SUM(AL66:AL67)</f>
        <v>29</v>
      </c>
      <c r="AN66" s="119">
        <v>2</v>
      </c>
      <c r="AO66" s="119">
        <v>0</v>
      </c>
      <c r="AP66" s="119">
        <v>0</v>
      </c>
      <c r="AQ66" s="119">
        <v>0</v>
      </c>
      <c r="AR66" s="119">
        <v>0</v>
      </c>
      <c r="AS66" s="119">
        <v>0</v>
      </c>
      <c r="AT66" s="133">
        <f>SUM(AM66:AS67)</f>
        <v>31</v>
      </c>
    </row>
    <row r="67" spans="1:46" ht="16.7" customHeight="1">
      <c r="A67" s="108"/>
      <c r="B67" s="20" t="s">
        <v>153</v>
      </c>
      <c r="C67" s="71" t="s">
        <v>41</v>
      </c>
      <c r="D67" s="72" t="s">
        <v>154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>
        <v>14</v>
      </c>
      <c r="AD67" s="14"/>
      <c r="AE67" s="14"/>
      <c r="AF67" s="14"/>
      <c r="AG67" s="14"/>
      <c r="AH67" s="14"/>
      <c r="AI67" s="14"/>
      <c r="AJ67" s="14"/>
      <c r="AK67" s="14"/>
      <c r="AL67" s="24">
        <f t="shared" si="14"/>
        <v>14</v>
      </c>
      <c r="AM67" s="133"/>
      <c r="AN67" s="119"/>
      <c r="AO67" s="119"/>
      <c r="AP67" s="119"/>
      <c r="AQ67" s="119"/>
      <c r="AR67" s="119"/>
      <c r="AS67" s="119"/>
      <c r="AT67" s="133"/>
    </row>
    <row r="68" spans="1:46" ht="16.7" customHeight="1">
      <c r="A68" s="108">
        <v>29</v>
      </c>
      <c r="B68" s="15" t="s">
        <v>155</v>
      </c>
      <c r="C68" s="19" t="s">
        <v>41</v>
      </c>
      <c r="D68" s="72" t="s">
        <v>156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>
        <v>22</v>
      </c>
      <c r="AE68" s="72"/>
      <c r="AF68" s="72"/>
      <c r="AG68" s="72"/>
      <c r="AH68" s="72"/>
      <c r="AI68" s="72"/>
      <c r="AJ68" s="72"/>
      <c r="AK68" s="72"/>
      <c r="AL68" s="24">
        <f t="shared" si="14"/>
        <v>22</v>
      </c>
      <c r="AM68" s="133">
        <f t="shared" ref="AM68" si="18">SUM(AL68:AL69)</f>
        <v>28</v>
      </c>
      <c r="AN68" s="119">
        <v>2</v>
      </c>
      <c r="AO68" s="119">
        <v>0</v>
      </c>
      <c r="AP68" s="119">
        <v>12</v>
      </c>
      <c r="AQ68" s="119">
        <v>0</v>
      </c>
      <c r="AR68" s="119">
        <v>0</v>
      </c>
      <c r="AS68" s="119">
        <v>0</v>
      </c>
      <c r="AT68" s="133">
        <f>SUM(AM68:AS69)</f>
        <v>42</v>
      </c>
    </row>
    <row r="69" spans="1:46" ht="16.7" customHeight="1">
      <c r="A69" s="108"/>
      <c r="B69" s="23" t="s">
        <v>157</v>
      </c>
      <c r="C69" s="19" t="s">
        <v>158</v>
      </c>
      <c r="D69" s="72" t="s">
        <v>159</v>
      </c>
      <c r="E69" s="72"/>
      <c r="F69" s="72"/>
      <c r="G69" s="72">
        <v>3</v>
      </c>
      <c r="H69" s="72">
        <v>3</v>
      </c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24">
        <f t="shared" si="14"/>
        <v>6</v>
      </c>
      <c r="AM69" s="133"/>
      <c r="AN69" s="119"/>
      <c r="AO69" s="119"/>
      <c r="AP69" s="119"/>
      <c r="AQ69" s="119"/>
      <c r="AR69" s="119"/>
      <c r="AS69" s="119"/>
      <c r="AT69" s="133"/>
    </row>
    <row r="70" spans="1:46" ht="16.7" customHeight="1">
      <c r="A70" s="108">
        <v>30</v>
      </c>
      <c r="B70" s="21" t="s">
        <v>160</v>
      </c>
      <c r="C70" s="19" t="s">
        <v>158</v>
      </c>
      <c r="D70" s="72" t="s">
        <v>161</v>
      </c>
      <c r="E70" s="14"/>
      <c r="F70" s="14"/>
      <c r="G70" s="14">
        <v>3</v>
      </c>
      <c r="H70" s="14">
        <v>3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24">
        <f t="shared" si="14"/>
        <v>6</v>
      </c>
      <c r="AM70" s="133">
        <f t="shared" ref="AM70" si="19">SUM(AL70:AL71)</f>
        <v>28</v>
      </c>
      <c r="AN70" s="119">
        <v>2</v>
      </c>
      <c r="AO70" s="119">
        <v>0</v>
      </c>
      <c r="AP70" s="119">
        <v>0</v>
      </c>
      <c r="AQ70" s="119">
        <v>0</v>
      </c>
      <c r="AR70" s="119">
        <v>0</v>
      </c>
      <c r="AS70" s="119">
        <v>1</v>
      </c>
      <c r="AT70" s="133">
        <f>SUM(AM70:AS71)</f>
        <v>31</v>
      </c>
    </row>
    <row r="71" spans="1:46" ht="16.7" customHeight="1">
      <c r="A71" s="108"/>
      <c r="B71" s="23" t="s">
        <v>162</v>
      </c>
      <c r="C71" s="71" t="s">
        <v>163</v>
      </c>
      <c r="D71" s="72" t="s">
        <v>164</v>
      </c>
      <c r="E71" s="14">
        <v>2</v>
      </c>
      <c r="F71" s="14">
        <v>2</v>
      </c>
      <c r="G71" s="14">
        <v>2</v>
      </c>
      <c r="H71" s="14">
        <v>2</v>
      </c>
      <c r="I71" s="14">
        <v>2</v>
      </c>
      <c r="J71" s="14">
        <v>2</v>
      </c>
      <c r="K71" s="14">
        <v>2</v>
      </c>
      <c r="L71" s="14">
        <v>2</v>
      </c>
      <c r="M71" s="14">
        <v>2</v>
      </c>
      <c r="N71" s="14">
        <v>2</v>
      </c>
      <c r="O71" s="14">
        <v>2</v>
      </c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24">
        <f t="shared" si="14"/>
        <v>22</v>
      </c>
      <c r="AM71" s="133"/>
      <c r="AN71" s="119"/>
      <c r="AO71" s="119"/>
      <c r="AP71" s="119"/>
      <c r="AQ71" s="119"/>
      <c r="AR71" s="119"/>
      <c r="AS71" s="119"/>
      <c r="AT71" s="133"/>
    </row>
    <row r="72" spans="1:46" ht="16.7" customHeight="1">
      <c r="A72" s="108">
        <v>31</v>
      </c>
      <c r="B72" s="26" t="s">
        <v>165</v>
      </c>
      <c r="C72" s="115" t="s">
        <v>99</v>
      </c>
      <c r="D72" s="120" t="s">
        <v>166</v>
      </c>
      <c r="E72" s="120"/>
      <c r="F72" s="120"/>
      <c r="G72" s="120"/>
      <c r="H72" s="120"/>
      <c r="I72" s="120"/>
      <c r="J72" s="120"/>
      <c r="K72" s="120"/>
      <c r="L72" s="120"/>
      <c r="M72" s="120">
        <v>4</v>
      </c>
      <c r="N72" s="120">
        <v>4</v>
      </c>
      <c r="O72" s="120">
        <v>4</v>
      </c>
      <c r="P72" s="120"/>
      <c r="Q72" s="120"/>
      <c r="R72" s="120">
        <v>3</v>
      </c>
      <c r="S72" s="120">
        <v>3</v>
      </c>
      <c r="T72" s="120"/>
      <c r="U72" s="120"/>
      <c r="V72" s="120"/>
      <c r="W72" s="120"/>
      <c r="X72" s="120">
        <v>3</v>
      </c>
      <c r="Y72" s="120">
        <v>3</v>
      </c>
      <c r="Z72" s="120">
        <v>3</v>
      </c>
      <c r="AA72" s="120"/>
      <c r="AB72" s="120"/>
      <c r="AC72" s="120"/>
      <c r="AD72" s="120"/>
      <c r="AE72" s="120"/>
      <c r="AF72" s="120"/>
      <c r="AG72" s="120"/>
      <c r="AH72" s="120"/>
      <c r="AI72" s="120"/>
      <c r="AJ72" s="120"/>
      <c r="AK72" s="120"/>
      <c r="AL72" s="128">
        <f>SUM(E72:AK73)</f>
        <v>27</v>
      </c>
      <c r="AM72" s="133">
        <f t="shared" ref="AM72" si="20">SUM(AL72:AL73)</f>
        <v>27</v>
      </c>
      <c r="AN72" s="119">
        <v>2</v>
      </c>
      <c r="AO72" s="119">
        <v>0</v>
      </c>
      <c r="AP72" s="119">
        <v>0</v>
      </c>
      <c r="AQ72" s="119">
        <v>0</v>
      </c>
      <c r="AR72" s="119">
        <v>0</v>
      </c>
      <c r="AS72" s="119">
        <v>1</v>
      </c>
      <c r="AT72" s="133">
        <f>SUM(AM72:AS73)</f>
        <v>30</v>
      </c>
    </row>
    <row r="73" spans="1:46" ht="16.7" customHeight="1">
      <c r="A73" s="108"/>
      <c r="B73" s="23" t="s">
        <v>167</v>
      </c>
      <c r="C73" s="116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8"/>
      <c r="AM73" s="133"/>
      <c r="AN73" s="119"/>
      <c r="AO73" s="119"/>
      <c r="AP73" s="119"/>
      <c r="AQ73" s="119"/>
      <c r="AR73" s="119"/>
      <c r="AS73" s="119"/>
      <c r="AT73" s="133"/>
    </row>
    <row r="74" spans="1:46" ht="16.7" customHeight="1">
      <c r="A74" s="108">
        <v>32</v>
      </c>
      <c r="B74" s="15" t="s">
        <v>168</v>
      </c>
      <c r="C74" s="115" t="s">
        <v>169</v>
      </c>
      <c r="D74" s="120" t="s">
        <v>170</v>
      </c>
      <c r="E74" s="123">
        <v>2</v>
      </c>
      <c r="F74" s="123">
        <v>2</v>
      </c>
      <c r="G74" s="123"/>
      <c r="H74" s="123"/>
      <c r="I74" s="123"/>
      <c r="J74" s="123"/>
      <c r="K74" s="123"/>
      <c r="L74" s="123"/>
      <c r="M74" s="123"/>
      <c r="N74" s="123"/>
      <c r="O74" s="123">
        <v>2</v>
      </c>
      <c r="P74" s="123">
        <v>2</v>
      </c>
      <c r="Q74" s="123">
        <v>2</v>
      </c>
      <c r="R74" s="123">
        <v>2</v>
      </c>
      <c r="S74" s="123">
        <v>2</v>
      </c>
      <c r="T74" s="123">
        <v>2</v>
      </c>
      <c r="U74" s="123">
        <v>2</v>
      </c>
      <c r="V74" s="123">
        <v>2</v>
      </c>
      <c r="W74" s="123">
        <v>2</v>
      </c>
      <c r="X74" s="123">
        <v>2</v>
      </c>
      <c r="Y74" s="123">
        <v>2</v>
      </c>
      <c r="Z74" s="123">
        <v>2</v>
      </c>
      <c r="AA74" s="123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8">
        <f>SUM(E74:AK75)</f>
        <v>28</v>
      </c>
      <c r="AM74" s="133">
        <f t="shared" ref="AM74" si="21">SUM(AL74:AL75)</f>
        <v>28</v>
      </c>
      <c r="AN74" s="119">
        <v>2</v>
      </c>
      <c r="AO74" s="119">
        <v>0</v>
      </c>
      <c r="AP74" s="119">
        <v>0</v>
      </c>
      <c r="AQ74" s="119">
        <v>0</v>
      </c>
      <c r="AR74" s="119">
        <v>0</v>
      </c>
      <c r="AS74" s="119">
        <v>0</v>
      </c>
      <c r="AT74" s="133">
        <f>SUM(AM74:AS75)</f>
        <v>30</v>
      </c>
    </row>
    <row r="75" spans="1:46" ht="16.7" customHeight="1">
      <c r="A75" s="108"/>
      <c r="B75" s="23" t="s">
        <v>171</v>
      </c>
      <c r="C75" s="116"/>
      <c r="D75" s="121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  <c r="AL75" s="128"/>
      <c r="AM75" s="133"/>
      <c r="AN75" s="119"/>
      <c r="AO75" s="119"/>
      <c r="AP75" s="119"/>
      <c r="AQ75" s="119"/>
      <c r="AR75" s="119"/>
      <c r="AS75" s="119"/>
      <c r="AT75" s="133"/>
    </row>
    <row r="76" spans="1:46" ht="16.7" customHeight="1">
      <c r="A76" s="108">
        <v>33</v>
      </c>
      <c r="B76" s="21" t="s">
        <v>172</v>
      </c>
      <c r="C76" s="19" t="s">
        <v>41</v>
      </c>
      <c r="D76" s="72" t="s">
        <v>173</v>
      </c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>
        <v>12</v>
      </c>
      <c r="AD76" s="72"/>
      <c r="AE76" s="72"/>
      <c r="AF76" s="72"/>
      <c r="AG76" s="72"/>
      <c r="AH76" s="72"/>
      <c r="AI76" s="72"/>
      <c r="AJ76" s="72"/>
      <c r="AK76" s="72"/>
      <c r="AL76" s="24">
        <f t="shared" si="14"/>
        <v>12</v>
      </c>
      <c r="AM76" s="133">
        <f>SUM(AL76:AL78)</f>
        <v>24</v>
      </c>
      <c r="AN76" s="119">
        <v>2</v>
      </c>
      <c r="AO76" s="119">
        <v>0</v>
      </c>
      <c r="AP76" s="119">
        <v>0</v>
      </c>
      <c r="AQ76" s="119">
        <v>0</v>
      </c>
      <c r="AR76" s="119">
        <v>0</v>
      </c>
      <c r="AS76" s="119">
        <v>0</v>
      </c>
      <c r="AT76" s="133">
        <f>SUM(AM76:AS78)</f>
        <v>26</v>
      </c>
    </row>
    <row r="77" spans="1:46" ht="16.7" customHeight="1">
      <c r="A77" s="108"/>
      <c r="B77" s="23" t="s">
        <v>174</v>
      </c>
      <c r="C77" s="19" t="s">
        <v>108</v>
      </c>
      <c r="D77" s="72" t="s">
        <v>175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>
        <v>5</v>
      </c>
      <c r="U77" s="72">
        <v>5</v>
      </c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24">
        <f t="shared" si="14"/>
        <v>10</v>
      </c>
      <c r="AM77" s="133"/>
      <c r="AN77" s="119"/>
      <c r="AO77" s="119"/>
      <c r="AP77" s="119"/>
      <c r="AQ77" s="119"/>
      <c r="AR77" s="119"/>
      <c r="AS77" s="119"/>
      <c r="AT77" s="133"/>
    </row>
    <row r="78" spans="1:46" ht="16.7" customHeight="1">
      <c r="A78" s="108"/>
      <c r="B78" s="23"/>
      <c r="C78" s="71" t="s">
        <v>176</v>
      </c>
      <c r="D78" s="72" t="s">
        <v>177</v>
      </c>
      <c r="E78" s="72">
        <v>2</v>
      </c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24">
        <f t="shared" ref="AL78" si="22">SUM(E78:AK78)</f>
        <v>2</v>
      </c>
      <c r="AM78" s="133"/>
      <c r="AN78" s="119"/>
      <c r="AO78" s="119"/>
      <c r="AP78" s="119"/>
      <c r="AQ78" s="119"/>
      <c r="AR78" s="119"/>
      <c r="AS78" s="119"/>
      <c r="AT78" s="133"/>
    </row>
    <row r="79" spans="1:46" ht="16.7" customHeight="1">
      <c r="A79" s="108">
        <v>34</v>
      </c>
      <c r="B79" s="15" t="s">
        <v>178</v>
      </c>
      <c r="C79" s="16" t="s">
        <v>71</v>
      </c>
      <c r="D79" s="72" t="s">
        <v>179</v>
      </c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>
        <v>8</v>
      </c>
      <c r="W79" s="72">
        <v>8</v>
      </c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24">
        <f t="shared" si="14"/>
        <v>16</v>
      </c>
      <c r="AM79" s="133">
        <f t="shared" ref="AM79" si="23">SUM(AL79:AL81)</f>
        <v>36</v>
      </c>
      <c r="AN79" s="119">
        <v>2</v>
      </c>
      <c r="AO79" s="119">
        <v>0</v>
      </c>
      <c r="AP79" s="119">
        <v>0</v>
      </c>
      <c r="AQ79" s="119">
        <v>0</v>
      </c>
      <c r="AR79" s="119">
        <v>0</v>
      </c>
      <c r="AS79" s="119">
        <v>0</v>
      </c>
      <c r="AT79" s="133">
        <f>SUM(AM79:AS81)</f>
        <v>38</v>
      </c>
    </row>
    <row r="80" spans="1:46" ht="16.7" customHeight="1">
      <c r="A80" s="108"/>
      <c r="B80" s="18" t="s">
        <v>180</v>
      </c>
      <c r="C80" s="71" t="s">
        <v>181</v>
      </c>
      <c r="D80" s="72" t="s">
        <v>182</v>
      </c>
      <c r="E80" s="72"/>
      <c r="F80" s="72"/>
      <c r="G80" s="72"/>
      <c r="H80" s="72"/>
      <c r="I80" s="72"/>
      <c r="J80" s="72"/>
      <c r="K80" s="72">
        <v>6</v>
      </c>
      <c r="L80" s="72">
        <v>6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24">
        <f t="shared" si="14"/>
        <v>12</v>
      </c>
      <c r="AM80" s="133"/>
      <c r="AN80" s="119"/>
      <c r="AO80" s="119"/>
      <c r="AP80" s="119"/>
      <c r="AQ80" s="119"/>
      <c r="AR80" s="119"/>
      <c r="AS80" s="119"/>
      <c r="AT80" s="133"/>
    </row>
    <row r="81" spans="1:46" ht="16.7" customHeight="1">
      <c r="A81" s="108"/>
      <c r="B81" s="18"/>
      <c r="C81" s="71" t="s">
        <v>41</v>
      </c>
      <c r="D81" s="72" t="s">
        <v>183</v>
      </c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>
        <v>8</v>
      </c>
      <c r="AH81" s="72"/>
      <c r="AI81" s="72"/>
      <c r="AJ81" s="72"/>
      <c r="AK81" s="72"/>
      <c r="AL81" s="24">
        <f t="shared" si="14"/>
        <v>8</v>
      </c>
      <c r="AM81" s="133"/>
      <c r="AN81" s="119"/>
      <c r="AO81" s="119"/>
      <c r="AP81" s="119"/>
      <c r="AQ81" s="119"/>
      <c r="AR81" s="119"/>
      <c r="AS81" s="119"/>
      <c r="AT81" s="133"/>
    </row>
    <row r="82" spans="1:46" ht="16.7" customHeight="1">
      <c r="A82" s="108">
        <v>35</v>
      </c>
      <c r="B82" s="26" t="s">
        <v>184</v>
      </c>
      <c r="C82" s="71" t="s">
        <v>185</v>
      </c>
      <c r="D82" s="72" t="s">
        <v>186</v>
      </c>
      <c r="E82" s="72"/>
      <c r="F82" s="72"/>
      <c r="G82" s="72"/>
      <c r="H82" s="72"/>
      <c r="I82" s="72"/>
      <c r="J82" s="72"/>
      <c r="K82" s="72">
        <v>2</v>
      </c>
      <c r="L82" s="72">
        <v>2</v>
      </c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24">
        <f t="shared" si="14"/>
        <v>4</v>
      </c>
      <c r="AM82" s="133">
        <f t="shared" ref="AM82" si="24">SUM(AL82:AL83)</f>
        <v>28</v>
      </c>
      <c r="AN82" s="119">
        <v>2</v>
      </c>
      <c r="AO82" s="119">
        <v>0</v>
      </c>
      <c r="AP82" s="119">
        <v>0</v>
      </c>
      <c r="AQ82" s="119">
        <v>0</v>
      </c>
      <c r="AR82" s="119">
        <v>0</v>
      </c>
      <c r="AS82" s="119">
        <v>1</v>
      </c>
      <c r="AT82" s="133">
        <f>SUM(AM82:AS83)</f>
        <v>31</v>
      </c>
    </row>
    <row r="83" spans="1:46" ht="16.7" customHeight="1">
      <c r="A83" s="108"/>
      <c r="B83" s="27" t="s">
        <v>187</v>
      </c>
      <c r="C83" s="71" t="s">
        <v>41</v>
      </c>
      <c r="D83" s="72" t="s">
        <v>188</v>
      </c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>
        <v>24</v>
      </c>
      <c r="AG83" s="72"/>
      <c r="AH83" s="72"/>
      <c r="AI83" s="72"/>
      <c r="AJ83" s="72"/>
      <c r="AK83" s="72"/>
      <c r="AL83" s="24">
        <f t="shared" si="14"/>
        <v>24</v>
      </c>
      <c r="AM83" s="133"/>
      <c r="AN83" s="119"/>
      <c r="AO83" s="119"/>
      <c r="AP83" s="119"/>
      <c r="AQ83" s="119"/>
      <c r="AR83" s="119"/>
      <c r="AS83" s="119"/>
      <c r="AT83" s="133"/>
    </row>
    <row r="84" spans="1:46" ht="16.7" customHeight="1">
      <c r="A84" s="108">
        <v>36</v>
      </c>
      <c r="B84" s="28" t="s">
        <v>189</v>
      </c>
      <c r="C84" s="71" t="s">
        <v>41</v>
      </c>
      <c r="D84" s="72" t="s">
        <v>190</v>
      </c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>
        <v>16</v>
      </c>
      <c r="AF84" s="72"/>
      <c r="AG84" s="72"/>
      <c r="AH84" s="72"/>
      <c r="AI84" s="72"/>
      <c r="AJ84" s="72"/>
      <c r="AK84" s="72"/>
      <c r="AL84" s="24">
        <f t="shared" si="14"/>
        <v>16</v>
      </c>
      <c r="AM84" s="133">
        <f t="shared" ref="AM84" si="25">SUM(AL84:AL85)</f>
        <v>32</v>
      </c>
      <c r="AN84" s="119">
        <v>2</v>
      </c>
      <c r="AO84" s="119">
        <v>0</v>
      </c>
      <c r="AP84" s="119">
        <v>0</v>
      </c>
      <c r="AQ84" s="119">
        <v>0</v>
      </c>
      <c r="AR84" s="119">
        <v>0</v>
      </c>
      <c r="AS84" s="119">
        <v>0</v>
      </c>
      <c r="AT84" s="133">
        <f>SUM(AM84:AS85)</f>
        <v>34</v>
      </c>
    </row>
    <row r="85" spans="1:46" ht="16.7" customHeight="1">
      <c r="A85" s="108"/>
      <c r="B85" s="20" t="s">
        <v>191</v>
      </c>
      <c r="C85" s="76" t="s">
        <v>192</v>
      </c>
      <c r="D85" s="72" t="s">
        <v>193</v>
      </c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>
        <v>8</v>
      </c>
      <c r="U85" s="72">
        <v>8</v>
      </c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24">
        <f t="shared" si="14"/>
        <v>16</v>
      </c>
      <c r="AM85" s="133"/>
      <c r="AN85" s="119"/>
      <c r="AO85" s="119"/>
      <c r="AP85" s="119"/>
      <c r="AQ85" s="119"/>
      <c r="AR85" s="119"/>
      <c r="AS85" s="119"/>
      <c r="AT85" s="133"/>
    </row>
    <row r="86" spans="1:46" ht="16.7" customHeight="1">
      <c r="A86" s="108">
        <v>37</v>
      </c>
      <c r="B86" s="26" t="s">
        <v>194</v>
      </c>
      <c r="C86" s="71" t="s">
        <v>176</v>
      </c>
      <c r="D86" s="72" t="s">
        <v>195</v>
      </c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>
        <v>2</v>
      </c>
      <c r="Q86" s="72">
        <v>2</v>
      </c>
      <c r="R86" s="72">
        <v>2</v>
      </c>
      <c r="S86" s="72">
        <v>2</v>
      </c>
      <c r="T86" s="72">
        <v>2</v>
      </c>
      <c r="U86" s="72">
        <v>2</v>
      </c>
      <c r="V86" s="72">
        <v>2</v>
      </c>
      <c r="W86" s="72">
        <v>2</v>
      </c>
      <c r="X86" s="72">
        <v>2</v>
      </c>
      <c r="Y86" s="72">
        <v>2</v>
      </c>
      <c r="Z86" s="72">
        <v>2</v>
      </c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24">
        <f t="shared" si="14"/>
        <v>22</v>
      </c>
      <c r="AM86" s="133">
        <f t="shared" ref="AM86" si="26">SUM(AL86:AL87)</f>
        <v>24</v>
      </c>
      <c r="AN86" s="119">
        <v>2</v>
      </c>
      <c r="AO86" s="119">
        <v>0</v>
      </c>
      <c r="AP86" s="119">
        <v>0</v>
      </c>
      <c r="AQ86" s="119">
        <v>0</v>
      </c>
      <c r="AR86" s="119">
        <v>0</v>
      </c>
      <c r="AS86" s="119">
        <v>1</v>
      </c>
      <c r="AT86" s="133">
        <f>SUM(AM86:AS87)</f>
        <v>27</v>
      </c>
    </row>
    <row r="87" spans="1:46" ht="16.7" customHeight="1">
      <c r="A87" s="108"/>
      <c r="B87" s="20" t="s">
        <v>196</v>
      </c>
      <c r="C87" s="71" t="s">
        <v>185</v>
      </c>
      <c r="D87" s="72" t="s">
        <v>197</v>
      </c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>
        <v>2</v>
      </c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24">
        <f t="shared" si="14"/>
        <v>2</v>
      </c>
      <c r="AM87" s="133"/>
      <c r="AN87" s="119"/>
      <c r="AO87" s="119"/>
      <c r="AP87" s="119"/>
      <c r="AQ87" s="119"/>
      <c r="AR87" s="119"/>
      <c r="AS87" s="119"/>
      <c r="AT87" s="133"/>
    </row>
    <row r="88" spans="1:46" ht="16.7" customHeight="1">
      <c r="A88" s="108">
        <v>38</v>
      </c>
      <c r="B88" s="28" t="s">
        <v>198</v>
      </c>
      <c r="C88" s="71" t="s">
        <v>176</v>
      </c>
      <c r="D88" s="72" t="s">
        <v>199</v>
      </c>
      <c r="E88" s="72"/>
      <c r="F88" s="72">
        <v>2</v>
      </c>
      <c r="G88" s="72">
        <v>2</v>
      </c>
      <c r="H88" s="72">
        <v>2</v>
      </c>
      <c r="I88" s="72">
        <v>2</v>
      </c>
      <c r="J88" s="72">
        <v>2</v>
      </c>
      <c r="K88" s="72">
        <v>2</v>
      </c>
      <c r="L88" s="72">
        <v>2</v>
      </c>
      <c r="M88" s="72">
        <v>2</v>
      </c>
      <c r="N88" s="72">
        <v>2</v>
      </c>
      <c r="O88" s="72">
        <v>2</v>
      </c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24">
        <f t="shared" si="14"/>
        <v>20</v>
      </c>
      <c r="AM88" s="133">
        <f t="shared" ref="AM88" si="27">SUM(AL88:AL89)</f>
        <v>24</v>
      </c>
      <c r="AN88" s="119">
        <v>2</v>
      </c>
      <c r="AO88" s="119">
        <v>0</v>
      </c>
      <c r="AP88" s="119">
        <v>0</v>
      </c>
      <c r="AQ88" s="119">
        <v>0</v>
      </c>
      <c r="AR88" s="119">
        <v>0</v>
      </c>
      <c r="AS88" s="119">
        <v>1</v>
      </c>
      <c r="AT88" s="133">
        <f>SUM(AM88:AS89)</f>
        <v>27</v>
      </c>
    </row>
    <row r="89" spans="1:46" ht="16.7" customHeight="1">
      <c r="A89" s="108"/>
      <c r="B89" s="27" t="s">
        <v>200</v>
      </c>
      <c r="C89" s="71" t="s">
        <v>201</v>
      </c>
      <c r="D89" s="72" t="s">
        <v>202</v>
      </c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>
        <v>4</v>
      </c>
      <c r="AI89" s="72"/>
      <c r="AJ89" s="72"/>
      <c r="AK89" s="72"/>
      <c r="AL89" s="24">
        <f t="shared" si="14"/>
        <v>4</v>
      </c>
      <c r="AM89" s="133"/>
      <c r="AN89" s="119"/>
      <c r="AO89" s="119"/>
      <c r="AP89" s="119"/>
      <c r="AQ89" s="119"/>
      <c r="AR89" s="119"/>
      <c r="AS89" s="119"/>
      <c r="AT89" s="133"/>
    </row>
    <row r="90" spans="1:46" ht="16.7" customHeight="1">
      <c r="A90" s="108">
        <v>39</v>
      </c>
      <c r="B90" s="28" t="s">
        <v>203</v>
      </c>
      <c r="C90" s="71" t="s">
        <v>204</v>
      </c>
      <c r="D90" s="72" t="s">
        <v>205</v>
      </c>
      <c r="E90" s="14"/>
      <c r="F90" s="14"/>
      <c r="G90" s="14"/>
      <c r="H90" s="14"/>
      <c r="I90" s="14"/>
      <c r="J90" s="14"/>
      <c r="K90" s="14"/>
      <c r="L90" s="14"/>
      <c r="M90" s="72"/>
      <c r="N90" s="72"/>
      <c r="O90" s="72"/>
      <c r="P90" s="72"/>
      <c r="Q90" s="72"/>
      <c r="R90" s="14"/>
      <c r="S90" s="14"/>
      <c r="T90" s="72">
        <v>4</v>
      </c>
      <c r="U90" s="72">
        <v>4</v>
      </c>
      <c r="V90" s="72"/>
      <c r="W90" s="72"/>
      <c r="X90" s="14">
        <v>4</v>
      </c>
      <c r="Y90" s="14">
        <v>4</v>
      </c>
      <c r="Z90" s="72"/>
      <c r="AA90" s="72"/>
      <c r="AB90" s="72"/>
      <c r="AC90" s="14"/>
      <c r="AD90" s="14"/>
      <c r="AE90" s="72"/>
      <c r="AF90" s="72"/>
      <c r="AG90" s="72"/>
      <c r="AH90" s="72"/>
      <c r="AI90" s="14"/>
      <c r="AJ90" s="14"/>
      <c r="AK90" s="72"/>
      <c r="AL90" s="24">
        <f t="shared" ref="AL90:AL91" si="28">SUM(E90:AK90)</f>
        <v>16</v>
      </c>
      <c r="AM90" s="133">
        <f t="shared" ref="AM90" si="29">SUM(AL90:AL91)</f>
        <v>28</v>
      </c>
      <c r="AN90" s="119">
        <v>2</v>
      </c>
      <c r="AO90" s="119">
        <v>0</v>
      </c>
      <c r="AP90" s="119">
        <v>0</v>
      </c>
      <c r="AQ90" s="119">
        <v>0</v>
      </c>
      <c r="AR90" s="119">
        <v>0</v>
      </c>
      <c r="AS90" s="119">
        <v>1</v>
      </c>
      <c r="AT90" s="133">
        <f>SUM(AM90:AS91)</f>
        <v>31</v>
      </c>
    </row>
    <row r="91" spans="1:46" ht="16.7" customHeight="1">
      <c r="A91" s="108"/>
      <c r="B91" s="27" t="s">
        <v>206</v>
      </c>
      <c r="C91" s="71" t="s">
        <v>41</v>
      </c>
      <c r="D91" s="72" t="s">
        <v>207</v>
      </c>
      <c r="E91" s="14"/>
      <c r="F91" s="14"/>
      <c r="G91" s="14"/>
      <c r="H91" s="14"/>
      <c r="I91" s="14"/>
      <c r="J91" s="14"/>
      <c r="K91" s="14"/>
      <c r="L91" s="14"/>
      <c r="M91" s="72"/>
      <c r="N91" s="72"/>
      <c r="O91" s="72"/>
      <c r="P91" s="72"/>
      <c r="Q91" s="72"/>
      <c r="R91" s="14"/>
      <c r="S91" s="14"/>
      <c r="T91" s="72"/>
      <c r="U91" s="72"/>
      <c r="V91" s="72"/>
      <c r="W91" s="72"/>
      <c r="X91" s="14"/>
      <c r="Y91" s="14"/>
      <c r="Z91" s="72"/>
      <c r="AA91" s="72"/>
      <c r="AB91" s="72"/>
      <c r="AC91" s="14"/>
      <c r="AD91" s="14"/>
      <c r="AE91" s="72"/>
      <c r="AF91" s="72"/>
      <c r="AG91" s="72">
        <v>12</v>
      </c>
      <c r="AH91" s="72"/>
      <c r="AI91" s="14"/>
      <c r="AJ91" s="14"/>
      <c r="AK91" s="72"/>
      <c r="AL91" s="24">
        <f t="shared" si="28"/>
        <v>12</v>
      </c>
      <c r="AM91" s="133"/>
      <c r="AN91" s="119"/>
      <c r="AO91" s="119"/>
      <c r="AP91" s="119"/>
      <c r="AQ91" s="119"/>
      <c r="AR91" s="119"/>
      <c r="AS91" s="119"/>
      <c r="AT91" s="133"/>
    </row>
    <row r="92" spans="1:46" ht="16.7" customHeight="1">
      <c r="A92" s="108">
        <v>40</v>
      </c>
      <c r="B92" s="26" t="s">
        <v>208</v>
      </c>
      <c r="C92" s="71" t="s">
        <v>41</v>
      </c>
      <c r="D92" s="72" t="s">
        <v>209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>
        <v>20</v>
      </c>
      <c r="AD92" s="14"/>
      <c r="AE92" s="14"/>
      <c r="AF92" s="14"/>
      <c r="AG92" s="14"/>
      <c r="AH92" s="14"/>
      <c r="AI92" s="14"/>
      <c r="AJ92" s="14"/>
      <c r="AK92" s="14"/>
      <c r="AL92" s="24">
        <f t="shared" ref="AL92:AL101" si="30">SUM(E92:AK92)</f>
        <v>20</v>
      </c>
      <c r="AM92" s="133">
        <f t="shared" ref="AM92" si="31">SUM(AL92:AL93)</f>
        <v>32</v>
      </c>
      <c r="AN92" s="119">
        <v>2</v>
      </c>
      <c r="AO92" s="119">
        <v>0</v>
      </c>
      <c r="AP92" s="119">
        <v>0</v>
      </c>
      <c r="AQ92" s="119">
        <v>0</v>
      </c>
      <c r="AR92" s="119">
        <v>0</v>
      </c>
      <c r="AS92" s="119">
        <v>0</v>
      </c>
      <c r="AT92" s="133">
        <f>SUM(AM92:AS93)</f>
        <v>34</v>
      </c>
    </row>
    <row r="93" spans="1:46" ht="16.7" customHeight="1">
      <c r="A93" s="108"/>
      <c r="B93" s="20" t="s">
        <v>210</v>
      </c>
      <c r="C93" s="19" t="s">
        <v>185</v>
      </c>
      <c r="D93" s="72" t="s">
        <v>211</v>
      </c>
      <c r="E93" s="14">
        <v>2</v>
      </c>
      <c r="F93" s="14">
        <v>2</v>
      </c>
      <c r="G93" s="14"/>
      <c r="H93" s="14"/>
      <c r="I93" s="14">
        <v>2</v>
      </c>
      <c r="J93" s="14">
        <v>2</v>
      </c>
      <c r="K93" s="14"/>
      <c r="L93" s="14"/>
      <c r="M93" s="14">
        <v>2</v>
      </c>
      <c r="N93" s="14">
        <v>2</v>
      </c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24">
        <f t="shared" si="30"/>
        <v>12</v>
      </c>
      <c r="AM93" s="133"/>
      <c r="AN93" s="119"/>
      <c r="AO93" s="119"/>
      <c r="AP93" s="119"/>
      <c r="AQ93" s="119"/>
      <c r="AR93" s="119"/>
      <c r="AS93" s="119"/>
      <c r="AT93" s="133"/>
    </row>
    <row r="94" spans="1:46" ht="16.7" customHeight="1">
      <c r="A94" s="109">
        <v>41</v>
      </c>
      <c r="B94" s="26" t="s">
        <v>212</v>
      </c>
      <c r="C94" s="115" t="s">
        <v>204</v>
      </c>
      <c r="D94" s="120" t="s">
        <v>213</v>
      </c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>
        <v>4</v>
      </c>
      <c r="Q94" s="109">
        <v>4</v>
      </c>
      <c r="R94" s="109">
        <v>4</v>
      </c>
      <c r="S94" s="109">
        <v>4</v>
      </c>
      <c r="T94" s="109"/>
      <c r="U94" s="109"/>
      <c r="V94" s="109">
        <v>4</v>
      </c>
      <c r="W94" s="109">
        <v>4</v>
      </c>
      <c r="X94" s="109"/>
      <c r="Y94" s="109"/>
      <c r="Z94" s="109">
        <v>4</v>
      </c>
      <c r="AA94" s="109"/>
      <c r="AB94" s="109"/>
      <c r="AC94" s="109"/>
      <c r="AD94" s="109"/>
      <c r="AE94" s="109"/>
      <c r="AF94" s="109"/>
      <c r="AG94" s="120"/>
      <c r="AH94" s="120"/>
      <c r="AI94" s="109"/>
      <c r="AJ94" s="109"/>
      <c r="AK94" s="109"/>
      <c r="AL94" s="128">
        <f>SUM(E94:AK95)</f>
        <v>28</v>
      </c>
      <c r="AM94" s="133">
        <f t="shared" ref="AM94" si="32">SUM(AL94:AL95)</f>
        <v>28</v>
      </c>
      <c r="AN94" s="119">
        <v>2</v>
      </c>
      <c r="AO94" s="119">
        <v>0</v>
      </c>
      <c r="AP94" s="119">
        <v>0</v>
      </c>
      <c r="AQ94" s="119">
        <v>0</v>
      </c>
      <c r="AR94" s="119">
        <v>0</v>
      </c>
      <c r="AS94" s="119">
        <v>0</v>
      </c>
      <c r="AT94" s="133">
        <f>SUM(AM94:AS95)</f>
        <v>30</v>
      </c>
    </row>
    <row r="95" spans="1:46" ht="16.7" customHeight="1">
      <c r="A95" s="110"/>
      <c r="B95" s="27" t="s">
        <v>214</v>
      </c>
      <c r="C95" s="116"/>
      <c r="D95" s="121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21"/>
      <c r="AH95" s="121"/>
      <c r="AI95" s="110"/>
      <c r="AJ95" s="110"/>
      <c r="AK95" s="110"/>
      <c r="AL95" s="128"/>
      <c r="AM95" s="133"/>
      <c r="AN95" s="119"/>
      <c r="AO95" s="119"/>
      <c r="AP95" s="119"/>
      <c r="AQ95" s="119"/>
      <c r="AR95" s="119"/>
      <c r="AS95" s="119"/>
      <c r="AT95" s="133"/>
    </row>
    <row r="96" spans="1:46" ht="16.7" customHeight="1">
      <c r="A96" s="109">
        <v>42</v>
      </c>
      <c r="B96" s="26" t="s">
        <v>215</v>
      </c>
      <c r="C96" s="71" t="s">
        <v>44</v>
      </c>
      <c r="D96" s="72" t="s">
        <v>216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3</v>
      </c>
      <c r="Q96" s="14">
        <v>3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72"/>
      <c r="AH96" s="72"/>
      <c r="AI96" s="14"/>
      <c r="AJ96" s="14"/>
      <c r="AK96" s="14"/>
      <c r="AL96" s="24">
        <f t="shared" si="30"/>
        <v>6</v>
      </c>
      <c r="AM96" s="133">
        <f t="shared" ref="AM96" si="33">SUM(AL96:AL98)</f>
        <v>26</v>
      </c>
      <c r="AN96" s="72"/>
      <c r="AO96" s="72"/>
      <c r="AP96" s="72"/>
      <c r="AQ96" s="72"/>
      <c r="AR96" s="72"/>
      <c r="AS96" s="72"/>
      <c r="AT96" s="73"/>
    </row>
    <row r="97" spans="1:48" ht="16.7" customHeight="1">
      <c r="A97" s="111"/>
      <c r="B97" s="27" t="s">
        <v>217</v>
      </c>
      <c r="C97" s="19" t="s">
        <v>119</v>
      </c>
      <c r="D97" s="72" t="s">
        <v>218</v>
      </c>
      <c r="E97" s="14">
        <v>3</v>
      </c>
      <c r="F97" s="14">
        <v>3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72"/>
      <c r="AH97" s="72"/>
      <c r="AI97" s="14"/>
      <c r="AJ97" s="14"/>
      <c r="AK97" s="14"/>
      <c r="AL97" s="24">
        <f t="shared" si="30"/>
        <v>6</v>
      </c>
      <c r="AM97" s="133"/>
      <c r="AN97" s="72"/>
      <c r="AO97" s="72"/>
      <c r="AP97" s="72"/>
      <c r="AQ97" s="72"/>
      <c r="AR97" s="72"/>
      <c r="AS97" s="72"/>
      <c r="AT97" s="73"/>
    </row>
    <row r="98" spans="1:48" ht="16.7" customHeight="1">
      <c r="A98" s="110"/>
      <c r="B98" s="27"/>
      <c r="C98" s="71" t="s">
        <v>41</v>
      </c>
      <c r="D98" s="72" t="s">
        <v>219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>
        <v>14</v>
      </c>
      <c r="AC98" s="14"/>
      <c r="AD98" s="14"/>
      <c r="AE98" s="14"/>
      <c r="AF98" s="14"/>
      <c r="AG98" s="72"/>
      <c r="AH98" s="72"/>
      <c r="AI98" s="14"/>
      <c r="AJ98" s="14"/>
      <c r="AK98" s="14"/>
      <c r="AL98" s="24">
        <f t="shared" si="30"/>
        <v>14</v>
      </c>
      <c r="AM98" s="133"/>
      <c r="AN98" s="72"/>
      <c r="AO98" s="72"/>
      <c r="AP98" s="72"/>
      <c r="AQ98" s="72"/>
      <c r="AR98" s="72"/>
      <c r="AS98" s="72"/>
      <c r="AT98" s="73"/>
    </row>
    <row r="99" spans="1:48" ht="16.7" customHeight="1">
      <c r="A99" s="109">
        <v>43</v>
      </c>
      <c r="B99" s="15" t="s">
        <v>220</v>
      </c>
      <c r="C99" s="76" t="s">
        <v>41</v>
      </c>
      <c r="D99" s="72" t="s">
        <v>221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>
        <v>22</v>
      </c>
      <c r="AG99" s="14"/>
      <c r="AH99" s="14"/>
      <c r="AI99" s="14"/>
      <c r="AJ99" s="14"/>
      <c r="AK99" s="14"/>
      <c r="AL99" s="24">
        <f t="shared" si="30"/>
        <v>22</v>
      </c>
      <c r="AM99" s="133">
        <f t="shared" ref="AM99" si="34">SUM(AL99:AL101)</f>
        <v>36</v>
      </c>
      <c r="AN99" s="119">
        <v>2</v>
      </c>
      <c r="AO99" s="119">
        <v>0</v>
      </c>
      <c r="AP99" s="119">
        <v>12</v>
      </c>
      <c r="AQ99" s="119">
        <v>0</v>
      </c>
      <c r="AR99" s="119">
        <v>0</v>
      </c>
      <c r="AS99" s="119">
        <v>0</v>
      </c>
      <c r="AT99" s="133">
        <f>SUM(AM99:AS101)</f>
        <v>50</v>
      </c>
      <c r="AV99" s="75"/>
    </row>
    <row r="100" spans="1:48" ht="16.7" customHeight="1">
      <c r="A100" s="111"/>
      <c r="B100" s="18" t="s">
        <v>222</v>
      </c>
      <c r="C100" s="19" t="s">
        <v>62</v>
      </c>
      <c r="D100" s="72" t="s">
        <v>223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>
        <v>3</v>
      </c>
      <c r="U100" s="14">
        <v>3</v>
      </c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24">
        <f t="shared" si="30"/>
        <v>6</v>
      </c>
      <c r="AM100" s="133"/>
      <c r="AN100" s="119"/>
      <c r="AO100" s="119"/>
      <c r="AP100" s="119"/>
      <c r="AQ100" s="119"/>
      <c r="AR100" s="119"/>
      <c r="AS100" s="119"/>
      <c r="AT100" s="133"/>
      <c r="AV100" s="75"/>
    </row>
    <row r="101" spans="1:48" ht="16.7" customHeight="1">
      <c r="A101" s="110"/>
      <c r="B101" s="18"/>
      <c r="C101" s="19" t="s">
        <v>192</v>
      </c>
      <c r="D101" s="72" t="s">
        <v>224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>
        <v>4</v>
      </c>
      <c r="U101" s="14">
        <v>4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24">
        <f t="shared" si="30"/>
        <v>8</v>
      </c>
      <c r="AM101" s="133"/>
      <c r="AN101" s="119"/>
      <c r="AO101" s="119"/>
      <c r="AP101" s="119"/>
      <c r="AQ101" s="119"/>
      <c r="AR101" s="119"/>
      <c r="AS101" s="119"/>
      <c r="AT101" s="133"/>
      <c r="AV101" s="75"/>
    </row>
    <row r="102" spans="1:48" ht="16.7" customHeight="1">
      <c r="A102" s="109">
        <v>44</v>
      </c>
      <c r="B102" s="15" t="s">
        <v>225</v>
      </c>
      <c r="C102" s="114" t="s">
        <v>62</v>
      </c>
      <c r="D102" s="119" t="s">
        <v>226</v>
      </c>
      <c r="E102" s="108"/>
      <c r="F102" s="108"/>
      <c r="G102" s="108">
        <v>4</v>
      </c>
      <c r="H102" s="108">
        <v>4</v>
      </c>
      <c r="I102" s="108">
        <v>4</v>
      </c>
      <c r="J102" s="108">
        <v>4</v>
      </c>
      <c r="K102" s="108"/>
      <c r="L102" s="108"/>
      <c r="M102" s="108">
        <v>4</v>
      </c>
      <c r="N102" s="108">
        <v>4</v>
      </c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28">
        <f>SUM(E102:AK103)</f>
        <v>24</v>
      </c>
      <c r="AM102" s="133">
        <f t="shared" ref="AM102" si="35">SUM(AL102:AL103)</f>
        <v>24</v>
      </c>
      <c r="AN102" s="119">
        <v>2</v>
      </c>
      <c r="AO102" s="119">
        <v>0</v>
      </c>
      <c r="AP102" s="119">
        <v>0</v>
      </c>
      <c r="AQ102" s="119">
        <v>0</v>
      </c>
      <c r="AR102" s="119">
        <v>0</v>
      </c>
      <c r="AS102" s="119">
        <v>1</v>
      </c>
      <c r="AT102" s="133">
        <f>SUM(AM102:AS103)</f>
        <v>27</v>
      </c>
      <c r="AV102" s="75"/>
    </row>
    <row r="103" spans="1:48" ht="16.7" customHeight="1">
      <c r="A103" s="110"/>
      <c r="B103" s="18" t="s">
        <v>227</v>
      </c>
      <c r="C103" s="114"/>
      <c r="D103" s="119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  <c r="AK103" s="108"/>
      <c r="AL103" s="128"/>
      <c r="AM103" s="133"/>
      <c r="AN103" s="119"/>
      <c r="AO103" s="119"/>
      <c r="AP103" s="119"/>
      <c r="AQ103" s="119"/>
      <c r="AR103" s="119"/>
      <c r="AS103" s="119"/>
      <c r="AT103" s="133"/>
      <c r="AV103" s="75"/>
    </row>
    <row r="104" spans="1:48" ht="16.7" customHeight="1">
      <c r="A104" s="109">
        <v>45</v>
      </c>
      <c r="B104" s="15" t="s">
        <v>228</v>
      </c>
      <c r="C104" s="19" t="s">
        <v>34</v>
      </c>
      <c r="D104" s="72" t="s">
        <v>229</v>
      </c>
      <c r="E104" s="14">
        <v>4</v>
      </c>
      <c r="F104" s="14">
        <v>4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>
        <v>4</v>
      </c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24">
        <f t="shared" ref="AL104:AL119" si="36">SUM(E104:AK104)</f>
        <v>12</v>
      </c>
      <c r="AM104" s="133">
        <f t="shared" ref="AM104" si="37">SUM(AL104:AL105)</f>
        <v>24</v>
      </c>
      <c r="AN104" s="119">
        <v>2</v>
      </c>
      <c r="AO104" s="119">
        <v>0</v>
      </c>
      <c r="AP104" s="119">
        <v>0</v>
      </c>
      <c r="AQ104" s="119">
        <v>0</v>
      </c>
      <c r="AR104" s="119">
        <v>0</v>
      </c>
      <c r="AS104" s="119">
        <v>1</v>
      </c>
      <c r="AT104" s="133">
        <f>SUM(AM104:AS105)</f>
        <v>27</v>
      </c>
    </row>
    <row r="105" spans="1:48" ht="16.7" customHeight="1">
      <c r="A105" s="110"/>
      <c r="B105" s="20" t="s">
        <v>230</v>
      </c>
      <c r="C105" s="71" t="s">
        <v>38</v>
      </c>
      <c r="D105" s="72" t="s">
        <v>231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3</v>
      </c>
      <c r="Q105" s="14">
        <v>3</v>
      </c>
      <c r="R105" s="14"/>
      <c r="S105" s="14"/>
      <c r="T105" s="14"/>
      <c r="U105" s="14"/>
      <c r="V105" s="14">
        <v>3</v>
      </c>
      <c r="W105" s="14">
        <v>3</v>
      </c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24">
        <f t="shared" si="36"/>
        <v>12</v>
      </c>
      <c r="AM105" s="133"/>
      <c r="AN105" s="119"/>
      <c r="AO105" s="119"/>
      <c r="AP105" s="119"/>
      <c r="AQ105" s="119"/>
      <c r="AR105" s="119"/>
      <c r="AS105" s="119"/>
      <c r="AT105" s="133"/>
    </row>
    <row r="106" spans="1:48" ht="16.7" customHeight="1">
      <c r="A106" s="109">
        <v>46</v>
      </c>
      <c r="B106" s="15" t="s">
        <v>232</v>
      </c>
      <c r="C106" s="115" t="s">
        <v>99</v>
      </c>
      <c r="D106" s="120" t="s">
        <v>233</v>
      </c>
      <c r="E106" s="108">
        <v>4</v>
      </c>
      <c r="F106" s="108">
        <v>4</v>
      </c>
      <c r="G106" s="108">
        <v>4</v>
      </c>
      <c r="H106" s="108">
        <v>4</v>
      </c>
      <c r="I106" s="108">
        <v>4</v>
      </c>
      <c r="J106" s="108">
        <v>4</v>
      </c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  <c r="AF106" s="108"/>
      <c r="AG106" s="108"/>
      <c r="AH106" s="108"/>
      <c r="AI106" s="108"/>
      <c r="AJ106" s="108"/>
      <c r="AK106" s="108"/>
      <c r="AL106" s="128">
        <f>SUM(E106:AK107)</f>
        <v>24</v>
      </c>
      <c r="AM106" s="133">
        <f t="shared" ref="AM106" si="38">SUM(AL106:AL107)</f>
        <v>24</v>
      </c>
      <c r="AN106" s="119">
        <v>2</v>
      </c>
      <c r="AO106" s="119">
        <v>0</v>
      </c>
      <c r="AP106" s="119">
        <v>0</v>
      </c>
      <c r="AQ106" s="119">
        <v>0</v>
      </c>
      <c r="AR106" s="119">
        <v>0</v>
      </c>
      <c r="AS106" s="119">
        <v>0</v>
      </c>
      <c r="AT106" s="133">
        <f>SUM(AM106:AS107)</f>
        <v>26</v>
      </c>
    </row>
    <row r="107" spans="1:48" ht="16.7" customHeight="1">
      <c r="A107" s="110"/>
      <c r="B107" s="20" t="s">
        <v>234</v>
      </c>
      <c r="C107" s="116"/>
      <c r="D107" s="121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8"/>
      <c r="AK107" s="108"/>
      <c r="AL107" s="128"/>
      <c r="AM107" s="133"/>
      <c r="AN107" s="119"/>
      <c r="AO107" s="119"/>
      <c r="AP107" s="119"/>
      <c r="AQ107" s="119"/>
      <c r="AR107" s="119"/>
      <c r="AS107" s="119"/>
      <c r="AT107" s="133"/>
    </row>
    <row r="108" spans="1:48" ht="16.7" customHeight="1">
      <c r="A108" s="109">
        <v>47</v>
      </c>
      <c r="B108" s="15" t="s">
        <v>235</v>
      </c>
      <c r="C108" s="71" t="s">
        <v>108</v>
      </c>
      <c r="D108" s="72" t="s">
        <v>236</v>
      </c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>
        <v>5</v>
      </c>
      <c r="W108" s="72">
        <v>5</v>
      </c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24">
        <f t="shared" si="36"/>
        <v>10</v>
      </c>
      <c r="AM108" s="133">
        <f>SUM(AL108:AL109)</f>
        <v>30</v>
      </c>
      <c r="AN108" s="119">
        <v>2</v>
      </c>
      <c r="AO108" s="119">
        <v>0</v>
      </c>
      <c r="AP108" s="119">
        <v>0</v>
      </c>
      <c r="AQ108" s="119">
        <v>0</v>
      </c>
      <c r="AR108" s="119">
        <v>0</v>
      </c>
      <c r="AS108" s="119">
        <v>0</v>
      </c>
      <c r="AT108" s="133">
        <f>SUM(AM108:AS109)</f>
        <v>32</v>
      </c>
    </row>
    <row r="109" spans="1:48" ht="16.7" customHeight="1">
      <c r="A109" s="110"/>
      <c r="B109" s="20" t="s">
        <v>237</v>
      </c>
      <c r="C109" s="71" t="s">
        <v>41</v>
      </c>
      <c r="D109" s="72" t="s">
        <v>236</v>
      </c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>
        <v>20</v>
      </c>
      <c r="AI109" s="72"/>
      <c r="AJ109" s="72"/>
      <c r="AK109" s="72"/>
      <c r="AL109" s="24">
        <f t="shared" si="36"/>
        <v>20</v>
      </c>
      <c r="AM109" s="133"/>
      <c r="AN109" s="119"/>
      <c r="AO109" s="119"/>
      <c r="AP109" s="119"/>
      <c r="AQ109" s="119"/>
      <c r="AR109" s="119"/>
      <c r="AS109" s="119"/>
      <c r="AT109" s="133"/>
    </row>
    <row r="110" spans="1:48" ht="16.7" customHeight="1">
      <c r="A110" s="108">
        <v>48</v>
      </c>
      <c r="B110" s="15" t="s">
        <v>238</v>
      </c>
      <c r="C110" s="71" t="s">
        <v>34</v>
      </c>
      <c r="D110" s="72" t="s">
        <v>239</v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>
        <v>4</v>
      </c>
      <c r="S110" s="14">
        <v>4</v>
      </c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24">
        <f t="shared" si="36"/>
        <v>8</v>
      </c>
      <c r="AM110" s="133">
        <f>SUM(AL110:AL111)</f>
        <v>24</v>
      </c>
      <c r="AN110" s="119">
        <v>2</v>
      </c>
      <c r="AO110" s="119">
        <v>0</v>
      </c>
      <c r="AP110" s="119">
        <v>0</v>
      </c>
      <c r="AQ110" s="119">
        <v>0</v>
      </c>
      <c r="AR110" s="119">
        <v>0</v>
      </c>
      <c r="AS110" s="119">
        <v>0</v>
      </c>
      <c r="AT110" s="133">
        <f>SUM(AM110:AS111)</f>
        <v>26</v>
      </c>
    </row>
    <row r="111" spans="1:48" ht="16.7" customHeight="1">
      <c r="A111" s="108"/>
      <c r="B111" s="22" t="s">
        <v>240</v>
      </c>
      <c r="C111" s="71" t="s">
        <v>169</v>
      </c>
      <c r="D111" s="72" t="s">
        <v>239</v>
      </c>
      <c r="E111" s="14"/>
      <c r="F111" s="14"/>
      <c r="G111" s="14">
        <v>2</v>
      </c>
      <c r="H111" s="14">
        <v>2</v>
      </c>
      <c r="I111" s="14">
        <v>2</v>
      </c>
      <c r="J111" s="14">
        <v>2</v>
      </c>
      <c r="K111" s="14">
        <v>2</v>
      </c>
      <c r="L111" s="14">
        <v>2</v>
      </c>
      <c r="M111" s="14">
        <v>2</v>
      </c>
      <c r="N111" s="14">
        <v>2</v>
      </c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24">
        <f t="shared" si="36"/>
        <v>16</v>
      </c>
      <c r="AM111" s="133"/>
      <c r="AN111" s="119"/>
      <c r="AO111" s="119"/>
      <c r="AP111" s="119"/>
      <c r="AQ111" s="119"/>
      <c r="AR111" s="119"/>
      <c r="AS111" s="119"/>
      <c r="AT111" s="133"/>
    </row>
    <row r="112" spans="1:48" ht="16.7" customHeight="1">
      <c r="A112" s="108">
        <v>49</v>
      </c>
      <c r="B112" s="15" t="s">
        <v>241</v>
      </c>
      <c r="C112" s="71" t="s">
        <v>62</v>
      </c>
      <c r="D112" s="72" t="s">
        <v>242</v>
      </c>
      <c r="E112" s="14">
        <v>4</v>
      </c>
      <c r="F112" s="14">
        <v>4</v>
      </c>
      <c r="G112" s="14"/>
      <c r="H112" s="14"/>
      <c r="I112" s="14"/>
      <c r="J112" s="14"/>
      <c r="K112" s="14">
        <v>4</v>
      </c>
      <c r="L112" s="14">
        <v>4</v>
      </c>
      <c r="M112" s="14"/>
      <c r="N112" s="14"/>
      <c r="O112" s="14">
        <v>4</v>
      </c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24">
        <f t="shared" si="36"/>
        <v>20</v>
      </c>
      <c r="AM112" s="133">
        <f t="shared" ref="AM112:AM114" si="39">SUM(AL112:AL113)</f>
        <v>24</v>
      </c>
      <c r="AN112" s="119">
        <v>2</v>
      </c>
      <c r="AO112" s="119">
        <v>0</v>
      </c>
      <c r="AP112" s="119">
        <v>0</v>
      </c>
      <c r="AQ112" s="119">
        <v>0</v>
      </c>
      <c r="AR112" s="119">
        <v>0</v>
      </c>
      <c r="AS112" s="119">
        <v>0</v>
      </c>
      <c r="AT112" s="133">
        <f>SUM(AM112:AS113)</f>
        <v>26</v>
      </c>
    </row>
    <row r="113" spans="1:49" ht="16.7" customHeight="1">
      <c r="A113" s="108"/>
      <c r="B113" s="22" t="s">
        <v>243</v>
      </c>
      <c r="C113" s="71" t="s">
        <v>185</v>
      </c>
      <c r="D113" s="72" t="s">
        <v>244</v>
      </c>
      <c r="E113" s="14"/>
      <c r="F113" s="14"/>
      <c r="G113" s="14">
        <v>2</v>
      </c>
      <c r="H113" s="14">
        <v>2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24">
        <f t="shared" si="36"/>
        <v>4</v>
      </c>
      <c r="AM113" s="133"/>
      <c r="AN113" s="119"/>
      <c r="AO113" s="119"/>
      <c r="AP113" s="119"/>
      <c r="AQ113" s="119"/>
      <c r="AR113" s="119"/>
      <c r="AS113" s="119"/>
      <c r="AT113" s="133"/>
    </row>
    <row r="114" spans="1:49" ht="16.7" customHeight="1">
      <c r="A114" s="108">
        <v>50</v>
      </c>
      <c r="B114" s="15" t="s">
        <v>245</v>
      </c>
      <c r="C114" s="19" t="s">
        <v>201</v>
      </c>
      <c r="D114" s="72" t="s">
        <v>246</v>
      </c>
      <c r="E114" s="14">
        <v>2</v>
      </c>
      <c r="F114" s="14">
        <v>2</v>
      </c>
      <c r="G114" s="14">
        <v>2</v>
      </c>
      <c r="H114" s="14">
        <v>2</v>
      </c>
      <c r="I114" s="14">
        <v>2</v>
      </c>
      <c r="J114" s="14">
        <v>2</v>
      </c>
      <c r="K114" s="14"/>
      <c r="L114" s="14"/>
      <c r="M114" s="14">
        <v>2</v>
      </c>
      <c r="N114" s="14">
        <v>2</v>
      </c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24">
        <f t="shared" si="36"/>
        <v>16</v>
      </c>
      <c r="AM114" s="133">
        <f t="shared" si="39"/>
        <v>28</v>
      </c>
      <c r="AN114" s="119">
        <v>2</v>
      </c>
      <c r="AO114" s="119">
        <v>0</v>
      </c>
      <c r="AP114" s="119">
        <v>0</v>
      </c>
      <c r="AQ114" s="119">
        <v>0</v>
      </c>
      <c r="AR114" s="119">
        <v>0</v>
      </c>
      <c r="AS114" s="119">
        <v>0</v>
      </c>
      <c r="AT114" s="133">
        <f>SUM(AM114:AS115)</f>
        <v>30</v>
      </c>
    </row>
    <row r="115" spans="1:49" ht="16.7" customHeight="1">
      <c r="A115" s="108"/>
      <c r="B115" s="22" t="s">
        <v>247</v>
      </c>
      <c r="C115" s="76" t="s">
        <v>62</v>
      </c>
      <c r="D115" s="72" t="s">
        <v>248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>
        <v>3</v>
      </c>
      <c r="S115" s="14">
        <v>3</v>
      </c>
      <c r="T115" s="14"/>
      <c r="U115" s="14"/>
      <c r="V115" s="14"/>
      <c r="W115" s="14"/>
      <c r="X115" s="14">
        <v>3</v>
      </c>
      <c r="Y115" s="14">
        <v>3</v>
      </c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24">
        <f t="shared" si="36"/>
        <v>12</v>
      </c>
      <c r="AM115" s="133"/>
      <c r="AN115" s="119"/>
      <c r="AO115" s="119"/>
      <c r="AP115" s="119"/>
      <c r="AQ115" s="119"/>
      <c r="AR115" s="119"/>
      <c r="AS115" s="119"/>
      <c r="AT115" s="133"/>
    </row>
    <row r="116" spans="1:49" ht="16.7" customHeight="1">
      <c r="A116" s="108">
        <v>51</v>
      </c>
      <c r="B116" s="26" t="s">
        <v>249</v>
      </c>
      <c r="C116" s="71" t="s">
        <v>108</v>
      </c>
      <c r="D116" s="72" t="s">
        <v>250</v>
      </c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>
        <v>5</v>
      </c>
      <c r="Y116" s="72">
        <v>5</v>
      </c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24">
        <f t="shared" si="36"/>
        <v>10</v>
      </c>
      <c r="AM116" s="133">
        <f t="shared" ref="AM116" si="40">SUM(AL116:AL117)</f>
        <v>32</v>
      </c>
      <c r="AN116" s="119">
        <v>2</v>
      </c>
      <c r="AO116" s="119">
        <v>0</v>
      </c>
      <c r="AP116" s="119">
        <v>0</v>
      </c>
      <c r="AQ116" s="119">
        <v>0</v>
      </c>
      <c r="AR116" s="119">
        <v>0</v>
      </c>
      <c r="AS116" s="119">
        <v>1</v>
      </c>
      <c r="AT116" s="133">
        <f>SUM(AM116:AS117)</f>
        <v>35</v>
      </c>
    </row>
    <row r="117" spans="1:49" ht="16.7" customHeight="1">
      <c r="A117" s="108"/>
      <c r="B117" s="20" t="s">
        <v>251</v>
      </c>
      <c r="C117" s="71" t="s">
        <v>41</v>
      </c>
      <c r="D117" s="72" t="s">
        <v>252</v>
      </c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>
        <v>22</v>
      </c>
      <c r="AK117" s="72"/>
      <c r="AL117" s="24">
        <f t="shared" si="36"/>
        <v>22</v>
      </c>
      <c r="AM117" s="133"/>
      <c r="AN117" s="119"/>
      <c r="AO117" s="119"/>
      <c r="AP117" s="119"/>
      <c r="AQ117" s="119"/>
      <c r="AR117" s="119"/>
      <c r="AS117" s="119"/>
      <c r="AT117" s="133"/>
    </row>
    <row r="118" spans="1:49" ht="16.7" customHeight="1">
      <c r="A118" s="108">
        <v>52</v>
      </c>
      <c r="B118" s="21" t="s">
        <v>253</v>
      </c>
      <c r="C118" s="19" t="s">
        <v>254</v>
      </c>
      <c r="D118" s="72" t="s">
        <v>255</v>
      </c>
      <c r="E118" s="14"/>
      <c r="F118" s="14"/>
      <c r="G118" s="14"/>
      <c r="H118" s="14"/>
      <c r="I118" s="14">
        <v>6</v>
      </c>
      <c r="J118" s="14">
        <v>6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72"/>
      <c r="AH118" s="72"/>
      <c r="AI118" s="72"/>
      <c r="AJ118" s="72"/>
      <c r="AK118" s="14"/>
      <c r="AL118" s="24">
        <f t="shared" si="36"/>
        <v>12</v>
      </c>
      <c r="AM118" s="133">
        <f t="shared" ref="AM118" si="41">SUM(AL118:AL119)</f>
        <v>28</v>
      </c>
      <c r="AN118" s="119">
        <v>2</v>
      </c>
      <c r="AO118" s="119">
        <v>0</v>
      </c>
      <c r="AP118" s="119">
        <v>0</v>
      </c>
      <c r="AQ118" s="119">
        <v>0</v>
      </c>
      <c r="AR118" s="119">
        <v>0</v>
      </c>
      <c r="AS118" s="119">
        <v>1</v>
      </c>
      <c r="AT118" s="133">
        <f>SUM(AM118:AS119)</f>
        <v>31</v>
      </c>
    </row>
    <row r="119" spans="1:49" ht="16.7" customHeight="1">
      <c r="A119" s="108"/>
      <c r="B119" s="23" t="s">
        <v>256</v>
      </c>
      <c r="C119" s="19" t="s">
        <v>41</v>
      </c>
      <c r="D119" s="72" t="s">
        <v>257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>
        <v>16</v>
      </c>
      <c r="AF119" s="14"/>
      <c r="AG119" s="14"/>
      <c r="AH119" s="14"/>
      <c r="AI119" s="14"/>
      <c r="AJ119" s="14"/>
      <c r="AK119" s="14"/>
      <c r="AL119" s="24">
        <f t="shared" si="36"/>
        <v>16</v>
      </c>
      <c r="AM119" s="133"/>
      <c r="AN119" s="119"/>
      <c r="AO119" s="119"/>
      <c r="AP119" s="119"/>
      <c r="AQ119" s="119"/>
      <c r="AR119" s="119"/>
      <c r="AS119" s="119"/>
      <c r="AT119" s="133"/>
    </row>
    <row r="120" spans="1:49" ht="16.7" customHeight="1">
      <c r="A120" s="14"/>
      <c r="B120" s="20"/>
      <c r="C120" s="19"/>
      <c r="D120" s="72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24"/>
      <c r="AM120" s="73"/>
      <c r="AN120" s="72"/>
      <c r="AO120" s="72"/>
      <c r="AP120" s="72"/>
      <c r="AQ120" s="72"/>
      <c r="AR120" s="72"/>
      <c r="AS120" s="72"/>
      <c r="AT120" s="73"/>
      <c r="AW120" s="65"/>
    </row>
    <row r="121" spans="1:49" ht="16.7" customHeight="1">
      <c r="A121" s="106" t="s">
        <v>258</v>
      </c>
      <c r="B121" s="106"/>
      <c r="C121" s="106"/>
      <c r="D121" s="106"/>
      <c r="E121" s="77">
        <f t="shared" ref="E121:AT121" si="42">SUM(E9:E120)</f>
        <v>40</v>
      </c>
      <c r="F121" s="77">
        <f t="shared" si="42"/>
        <v>40</v>
      </c>
      <c r="G121" s="77">
        <f t="shared" si="42"/>
        <v>40</v>
      </c>
      <c r="H121" s="77">
        <f t="shared" si="42"/>
        <v>40</v>
      </c>
      <c r="I121" s="77">
        <f t="shared" si="42"/>
        <v>40</v>
      </c>
      <c r="J121" s="77">
        <f t="shared" si="42"/>
        <v>40</v>
      </c>
      <c r="K121" s="77">
        <f t="shared" si="42"/>
        <v>40</v>
      </c>
      <c r="L121" s="77">
        <f t="shared" si="42"/>
        <v>40</v>
      </c>
      <c r="M121" s="77">
        <f t="shared" si="42"/>
        <v>40</v>
      </c>
      <c r="N121" s="77">
        <f t="shared" si="42"/>
        <v>40</v>
      </c>
      <c r="O121" s="77">
        <f t="shared" si="42"/>
        <v>40</v>
      </c>
      <c r="P121" s="77">
        <f t="shared" si="42"/>
        <v>40</v>
      </c>
      <c r="Q121" s="77">
        <f t="shared" si="42"/>
        <v>40</v>
      </c>
      <c r="R121" s="77">
        <f t="shared" si="42"/>
        <v>40</v>
      </c>
      <c r="S121" s="77">
        <f t="shared" si="42"/>
        <v>40</v>
      </c>
      <c r="T121" s="77">
        <f t="shared" si="42"/>
        <v>40</v>
      </c>
      <c r="U121" s="77">
        <f t="shared" si="42"/>
        <v>40</v>
      </c>
      <c r="V121" s="77">
        <f t="shared" si="42"/>
        <v>40</v>
      </c>
      <c r="W121" s="77">
        <f t="shared" si="42"/>
        <v>40</v>
      </c>
      <c r="X121" s="77">
        <f t="shared" si="42"/>
        <v>40</v>
      </c>
      <c r="Y121" s="77">
        <f t="shared" si="42"/>
        <v>40</v>
      </c>
      <c r="Z121" s="77">
        <f t="shared" si="42"/>
        <v>40</v>
      </c>
      <c r="AA121" s="77">
        <f t="shared" si="42"/>
        <v>46</v>
      </c>
      <c r="AB121" s="77">
        <f t="shared" si="42"/>
        <v>46</v>
      </c>
      <c r="AC121" s="77">
        <f t="shared" si="42"/>
        <v>46</v>
      </c>
      <c r="AD121" s="77">
        <f t="shared" si="42"/>
        <v>46</v>
      </c>
      <c r="AE121" s="77">
        <f t="shared" si="42"/>
        <v>46</v>
      </c>
      <c r="AF121" s="77">
        <f t="shared" si="42"/>
        <v>46</v>
      </c>
      <c r="AG121" s="77">
        <f t="shared" si="42"/>
        <v>46</v>
      </c>
      <c r="AH121" s="77">
        <f t="shared" si="42"/>
        <v>46</v>
      </c>
      <c r="AI121" s="77">
        <f t="shared" si="42"/>
        <v>46</v>
      </c>
      <c r="AJ121" s="77">
        <f t="shared" si="42"/>
        <v>46</v>
      </c>
      <c r="AK121" s="77">
        <f t="shared" si="42"/>
        <v>46</v>
      </c>
      <c r="AL121" s="24">
        <f t="shared" si="42"/>
        <v>1386</v>
      </c>
      <c r="AM121" s="73">
        <f t="shared" si="42"/>
        <v>1386</v>
      </c>
      <c r="AN121" s="73">
        <f t="shared" si="42"/>
        <v>102</v>
      </c>
      <c r="AO121" s="73">
        <f t="shared" si="42"/>
        <v>48</v>
      </c>
      <c r="AP121" s="73">
        <f t="shared" si="42"/>
        <v>72</v>
      </c>
      <c r="AQ121" s="73">
        <f t="shared" si="42"/>
        <v>4</v>
      </c>
      <c r="AR121" s="73">
        <f t="shared" si="42"/>
        <v>6</v>
      </c>
      <c r="AS121" s="73">
        <f t="shared" si="42"/>
        <v>20</v>
      </c>
      <c r="AT121" s="73">
        <f t="shared" si="42"/>
        <v>1612</v>
      </c>
      <c r="AV121" s="78"/>
      <c r="AW121" s="78"/>
    </row>
    <row r="122" spans="1:49">
      <c r="C122" s="79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80"/>
      <c r="AM122" s="81"/>
      <c r="AN122" s="33"/>
      <c r="AO122" s="33"/>
      <c r="AP122" s="33"/>
      <c r="AQ122" s="33"/>
      <c r="AR122" s="33"/>
      <c r="AS122" s="33"/>
      <c r="AT122" s="33"/>
    </row>
    <row r="123" spans="1:49">
      <c r="C123" s="32" t="s">
        <v>259</v>
      </c>
      <c r="D123" s="33"/>
      <c r="E123" s="33"/>
      <c r="F123" s="33"/>
      <c r="G123" s="33"/>
      <c r="H123" s="33"/>
      <c r="I123" s="33"/>
      <c r="J123" s="33"/>
      <c r="K123" s="33"/>
      <c r="M123" s="33"/>
      <c r="N123" s="33"/>
      <c r="O123" s="32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2"/>
      <c r="AA123" s="33"/>
      <c r="AB123" s="33"/>
      <c r="AC123" s="33"/>
      <c r="AD123" s="33"/>
      <c r="AE123" s="33"/>
      <c r="AF123" s="33"/>
      <c r="AG123" s="33"/>
      <c r="AH123" s="33"/>
      <c r="AI123" s="33" t="s">
        <v>260</v>
      </c>
      <c r="AJ123" s="33"/>
      <c r="AK123" s="32"/>
      <c r="AL123" s="80"/>
      <c r="AM123" s="81"/>
      <c r="AN123" s="33"/>
      <c r="AO123" s="33"/>
      <c r="AP123" s="33"/>
      <c r="AQ123" s="33"/>
      <c r="AR123" s="33"/>
      <c r="AS123" s="33"/>
      <c r="AT123" s="81"/>
    </row>
    <row r="124" spans="1:49">
      <c r="C124" s="32" t="s">
        <v>261</v>
      </c>
      <c r="E124" s="33"/>
      <c r="F124" s="33"/>
      <c r="H124" s="33"/>
      <c r="I124" s="33"/>
      <c r="J124" s="33"/>
      <c r="K124" s="33"/>
      <c r="M124" s="33"/>
      <c r="N124" s="33"/>
      <c r="O124" s="32"/>
      <c r="P124" s="33"/>
      <c r="Q124" s="33"/>
      <c r="S124" s="33"/>
      <c r="T124" s="33"/>
      <c r="U124" s="33"/>
      <c r="V124" s="33"/>
      <c r="W124" s="33"/>
      <c r="X124" s="33"/>
      <c r="Y124" s="33"/>
      <c r="Z124" s="32"/>
      <c r="AA124" s="33"/>
      <c r="AB124" s="33"/>
      <c r="AD124" s="33"/>
      <c r="AE124" s="33"/>
      <c r="AF124" s="33"/>
      <c r="AG124" s="33"/>
      <c r="AH124" s="33"/>
      <c r="AI124" s="33" t="s">
        <v>262</v>
      </c>
      <c r="AJ124" s="33"/>
      <c r="AK124" s="32"/>
      <c r="AL124" s="80"/>
      <c r="AM124" s="81"/>
      <c r="AN124" s="33"/>
      <c r="AO124" s="33"/>
      <c r="AP124" s="33"/>
      <c r="AQ124" s="33"/>
      <c r="AR124" s="33"/>
      <c r="AS124" s="33"/>
      <c r="AT124" s="33"/>
    </row>
    <row r="125" spans="1:49">
      <c r="C125" s="32"/>
      <c r="E125" s="33"/>
      <c r="F125" s="33"/>
      <c r="H125" s="33"/>
      <c r="I125" s="33"/>
      <c r="J125" s="33"/>
      <c r="K125" s="33"/>
      <c r="M125" s="33"/>
      <c r="N125" s="33"/>
      <c r="O125" s="32"/>
      <c r="P125" s="33"/>
      <c r="Q125" s="33"/>
      <c r="S125" s="33"/>
      <c r="T125" s="33"/>
      <c r="U125" s="33"/>
      <c r="V125" s="33"/>
      <c r="W125" s="33"/>
      <c r="X125" s="33"/>
      <c r="Y125" s="33"/>
      <c r="Z125" s="32"/>
      <c r="AA125" s="33"/>
      <c r="AB125" s="33"/>
      <c r="AD125" s="33"/>
      <c r="AE125" s="33"/>
      <c r="AF125" s="33"/>
      <c r="AG125" s="33"/>
      <c r="AH125" s="33"/>
      <c r="AI125" s="33"/>
      <c r="AJ125" s="33"/>
      <c r="AK125" s="32"/>
      <c r="AL125" s="80"/>
      <c r="AM125" s="81"/>
      <c r="AN125" s="33"/>
      <c r="AO125" s="33"/>
      <c r="AP125" s="33"/>
      <c r="AQ125" s="33"/>
      <c r="AR125" s="33"/>
      <c r="AS125" s="33"/>
      <c r="AT125" s="33"/>
    </row>
    <row r="126" spans="1:49">
      <c r="C126" s="32"/>
      <c r="E126" s="33"/>
      <c r="F126" s="33"/>
      <c r="H126" s="33"/>
      <c r="I126" s="33"/>
      <c r="J126" s="33"/>
      <c r="K126" s="33"/>
      <c r="M126" s="33"/>
      <c r="N126" s="33"/>
      <c r="O126" s="32"/>
      <c r="P126" s="33"/>
      <c r="Q126" s="33"/>
      <c r="S126" s="33"/>
      <c r="T126" s="33"/>
      <c r="U126" s="33"/>
      <c r="V126" s="33"/>
      <c r="W126" s="33"/>
      <c r="X126" s="33"/>
      <c r="Y126" s="33"/>
      <c r="Z126" s="32"/>
      <c r="AA126" s="33"/>
      <c r="AB126" s="33"/>
      <c r="AD126" s="33"/>
      <c r="AE126" s="33"/>
      <c r="AF126" s="33"/>
      <c r="AG126" s="33"/>
      <c r="AH126" s="33"/>
      <c r="AI126" s="33"/>
      <c r="AJ126" s="33"/>
      <c r="AK126" s="32"/>
      <c r="AL126" s="80"/>
      <c r="AM126" s="81"/>
      <c r="AN126" s="33"/>
      <c r="AO126" s="33"/>
      <c r="AP126" s="33"/>
      <c r="AQ126" s="33"/>
      <c r="AR126" s="33"/>
      <c r="AS126" s="33"/>
      <c r="AT126" s="33"/>
    </row>
    <row r="127" spans="1:49">
      <c r="C127" s="32"/>
      <c r="E127" s="33"/>
      <c r="F127" s="33"/>
      <c r="H127" s="33"/>
      <c r="I127" s="33"/>
      <c r="J127" s="33"/>
      <c r="K127" s="33"/>
      <c r="M127" s="33"/>
      <c r="N127" s="33"/>
      <c r="O127" s="32"/>
      <c r="P127" s="33"/>
      <c r="Q127" s="33"/>
      <c r="S127" s="33"/>
      <c r="T127" s="33"/>
      <c r="U127" s="33"/>
      <c r="V127" s="33"/>
      <c r="W127" s="33"/>
      <c r="X127" s="33"/>
      <c r="Y127" s="33"/>
      <c r="Z127" s="32"/>
      <c r="AA127" s="33"/>
      <c r="AB127" s="33"/>
      <c r="AD127" s="33"/>
      <c r="AE127" s="33"/>
      <c r="AF127" s="33"/>
      <c r="AG127" s="33"/>
      <c r="AH127" s="33"/>
      <c r="AI127" s="33"/>
      <c r="AJ127" s="33"/>
      <c r="AK127" s="32"/>
      <c r="AL127" s="80"/>
      <c r="AM127" s="81"/>
      <c r="AN127" s="33"/>
      <c r="AO127" s="33"/>
      <c r="AP127" s="33"/>
      <c r="AQ127" s="33"/>
      <c r="AR127" s="33"/>
      <c r="AS127" s="33"/>
      <c r="AT127" s="33"/>
    </row>
    <row r="128" spans="1:49">
      <c r="C128" s="34" t="s">
        <v>263</v>
      </c>
      <c r="E128" s="33"/>
      <c r="F128" s="33"/>
      <c r="H128" s="35"/>
      <c r="I128" s="33"/>
      <c r="J128" s="33"/>
      <c r="K128" s="33"/>
      <c r="M128" s="33"/>
      <c r="N128" s="33"/>
      <c r="O128" s="32"/>
      <c r="P128" s="33"/>
      <c r="Q128" s="33"/>
      <c r="S128" s="35"/>
      <c r="T128" s="33"/>
      <c r="U128" s="33"/>
      <c r="V128" s="33"/>
      <c r="W128" s="36"/>
      <c r="X128" s="36"/>
      <c r="Y128" s="33"/>
      <c r="Z128" s="32"/>
      <c r="AA128" s="33"/>
      <c r="AB128" s="33"/>
      <c r="AD128" s="35"/>
      <c r="AE128" s="33"/>
      <c r="AF128" s="33"/>
      <c r="AG128" s="33"/>
      <c r="AH128" s="36"/>
      <c r="AI128" s="36" t="s">
        <v>264</v>
      </c>
      <c r="AJ128" s="33"/>
      <c r="AK128" s="32"/>
      <c r="AL128" s="80"/>
      <c r="AM128" s="81"/>
      <c r="AN128" s="33"/>
      <c r="AO128" s="33"/>
      <c r="AP128" s="33"/>
      <c r="AQ128" s="33"/>
      <c r="AR128" s="33"/>
      <c r="AS128" s="33"/>
      <c r="AT128" s="33"/>
      <c r="AW128" s="82"/>
    </row>
    <row r="129" spans="3:52">
      <c r="C129" s="32" t="s">
        <v>265</v>
      </c>
      <c r="D129" s="37"/>
      <c r="E129" s="33"/>
      <c r="F129" s="33"/>
      <c r="H129" s="33"/>
      <c r="I129" s="33"/>
      <c r="J129" s="33"/>
      <c r="K129" s="33"/>
      <c r="M129" s="33"/>
      <c r="N129" s="33"/>
      <c r="O129" s="32"/>
      <c r="P129" s="33"/>
      <c r="Q129" s="33"/>
      <c r="S129" s="33"/>
      <c r="T129" s="33"/>
      <c r="U129" s="33"/>
      <c r="V129" s="33"/>
      <c r="W129" s="33"/>
      <c r="X129" s="33"/>
      <c r="Y129" s="33"/>
      <c r="Z129" s="32"/>
      <c r="AA129" s="33"/>
      <c r="AB129" s="33"/>
      <c r="AD129" s="33"/>
      <c r="AE129" s="33"/>
      <c r="AF129" s="33"/>
      <c r="AG129" s="33"/>
      <c r="AH129" s="33"/>
      <c r="AI129" s="33" t="s">
        <v>36</v>
      </c>
      <c r="AJ129" s="33"/>
      <c r="AK129" s="32"/>
      <c r="AL129" s="80"/>
      <c r="AM129" s="81"/>
      <c r="AN129" s="33"/>
      <c r="AO129" s="33"/>
      <c r="AP129" s="33"/>
      <c r="AQ129" s="33"/>
      <c r="AR129" s="33"/>
      <c r="AS129" s="33"/>
      <c r="AT129" s="33"/>
      <c r="AW129" s="83"/>
    </row>
    <row r="132" spans="3:52">
      <c r="AW132" s="83"/>
    </row>
    <row r="134" spans="3:52">
      <c r="AW134" s="84"/>
      <c r="AZ134" s="84"/>
    </row>
  </sheetData>
  <mergeCells count="1055">
    <mergeCell ref="AT118:AT119"/>
    <mergeCell ref="AN6:AS7"/>
    <mergeCell ref="AT79:AT81"/>
    <mergeCell ref="AT82:AT83"/>
    <mergeCell ref="AT84:AT85"/>
    <mergeCell ref="AT86:AT87"/>
    <mergeCell ref="AT88:AT89"/>
    <mergeCell ref="AT90:AT91"/>
    <mergeCell ref="AT92:AT93"/>
    <mergeCell ref="AT94:AT95"/>
    <mergeCell ref="AT99:AT101"/>
    <mergeCell ref="AT102:AT103"/>
    <mergeCell ref="AT104:AT105"/>
    <mergeCell ref="AT106:AT107"/>
    <mergeCell ref="AT108:AT109"/>
    <mergeCell ref="AT110:AT111"/>
    <mergeCell ref="AT112:AT113"/>
    <mergeCell ref="AT114:AT115"/>
    <mergeCell ref="AT116:AT117"/>
    <mergeCell ref="AT42:AT43"/>
    <mergeCell ref="AT44:AT45"/>
    <mergeCell ref="AT46:AT47"/>
    <mergeCell ref="AT48:AT50"/>
    <mergeCell ref="AT51:AT52"/>
    <mergeCell ref="AT53:AT54"/>
    <mergeCell ref="AT55:AT56"/>
    <mergeCell ref="AT57:AT58"/>
    <mergeCell ref="AT59:AT60"/>
    <mergeCell ref="AT61:AT63"/>
    <mergeCell ref="AT64:AT65"/>
    <mergeCell ref="AT66:AT67"/>
    <mergeCell ref="AT68:AT69"/>
    <mergeCell ref="AT70:AT71"/>
    <mergeCell ref="AT72:AT73"/>
    <mergeCell ref="AT74:AT75"/>
    <mergeCell ref="AT76:AT78"/>
    <mergeCell ref="AT6:AT8"/>
    <mergeCell ref="AT9:AT10"/>
    <mergeCell ref="AT11:AT12"/>
    <mergeCell ref="AT13:AT14"/>
    <mergeCell ref="AT15:AT16"/>
    <mergeCell ref="AT17:AT18"/>
    <mergeCell ref="AT19:AT20"/>
    <mergeCell ref="AT21:AT22"/>
    <mergeCell ref="AT23:AT24"/>
    <mergeCell ref="AT25:AT27"/>
    <mergeCell ref="AT28:AT29"/>
    <mergeCell ref="AT30:AT31"/>
    <mergeCell ref="AT32:AT33"/>
    <mergeCell ref="AT34:AT35"/>
    <mergeCell ref="AT36:AT37"/>
    <mergeCell ref="AT38:AT39"/>
    <mergeCell ref="AT40:AT41"/>
    <mergeCell ref="AS82:AS83"/>
    <mergeCell ref="AS84:AS85"/>
    <mergeCell ref="AS86:AS87"/>
    <mergeCell ref="AS88:AS89"/>
    <mergeCell ref="AS90:AS91"/>
    <mergeCell ref="AS92:AS93"/>
    <mergeCell ref="AS94:AS95"/>
    <mergeCell ref="AS99:AS101"/>
    <mergeCell ref="AS102:AS103"/>
    <mergeCell ref="AS104:AS105"/>
    <mergeCell ref="AS106:AS107"/>
    <mergeCell ref="AS108:AS109"/>
    <mergeCell ref="AS110:AS111"/>
    <mergeCell ref="AS112:AS113"/>
    <mergeCell ref="AS114:AS115"/>
    <mergeCell ref="AS116:AS117"/>
    <mergeCell ref="AS118:AS119"/>
    <mergeCell ref="AS44:AS45"/>
    <mergeCell ref="AS46:AS47"/>
    <mergeCell ref="AS48:AS50"/>
    <mergeCell ref="AS51:AS52"/>
    <mergeCell ref="AS53:AS54"/>
    <mergeCell ref="AS55:AS56"/>
    <mergeCell ref="AS57:AS58"/>
    <mergeCell ref="AS59:AS60"/>
    <mergeCell ref="AS61:AS63"/>
    <mergeCell ref="AS64:AS65"/>
    <mergeCell ref="AS66:AS67"/>
    <mergeCell ref="AS68:AS69"/>
    <mergeCell ref="AS70:AS71"/>
    <mergeCell ref="AS72:AS73"/>
    <mergeCell ref="AS74:AS75"/>
    <mergeCell ref="AS76:AS78"/>
    <mergeCell ref="AS79:AS81"/>
    <mergeCell ref="AR86:AR87"/>
    <mergeCell ref="AR88:AR89"/>
    <mergeCell ref="AR90:AR91"/>
    <mergeCell ref="AR92:AR93"/>
    <mergeCell ref="AR94:AR95"/>
    <mergeCell ref="AR99:AR101"/>
    <mergeCell ref="AR102:AR103"/>
    <mergeCell ref="AR104:AR105"/>
    <mergeCell ref="AR106:AR107"/>
    <mergeCell ref="AR108:AR109"/>
    <mergeCell ref="AR110:AR111"/>
    <mergeCell ref="AR112:AR113"/>
    <mergeCell ref="AR114:AR115"/>
    <mergeCell ref="AR116:AR117"/>
    <mergeCell ref="AR118:AR119"/>
    <mergeCell ref="AS9:AS10"/>
    <mergeCell ref="AS11:AS12"/>
    <mergeCell ref="AS13:AS14"/>
    <mergeCell ref="AS15:AS16"/>
    <mergeCell ref="AS17:AS18"/>
    <mergeCell ref="AS19:AS20"/>
    <mergeCell ref="AS21:AS22"/>
    <mergeCell ref="AS23:AS24"/>
    <mergeCell ref="AS25:AS27"/>
    <mergeCell ref="AS28:AS29"/>
    <mergeCell ref="AS30:AS31"/>
    <mergeCell ref="AS32:AS33"/>
    <mergeCell ref="AS34:AS35"/>
    <mergeCell ref="AS36:AS37"/>
    <mergeCell ref="AS38:AS39"/>
    <mergeCell ref="AS40:AS41"/>
    <mergeCell ref="AS42:AS43"/>
    <mergeCell ref="AR48:AR50"/>
    <mergeCell ref="AR51:AR52"/>
    <mergeCell ref="AR53:AR54"/>
    <mergeCell ref="AR55:AR56"/>
    <mergeCell ref="AR57:AR58"/>
    <mergeCell ref="AR59:AR60"/>
    <mergeCell ref="AR61:AR63"/>
    <mergeCell ref="AR64:AR65"/>
    <mergeCell ref="AR66:AR67"/>
    <mergeCell ref="AR68:AR69"/>
    <mergeCell ref="AR70:AR71"/>
    <mergeCell ref="AR72:AR73"/>
    <mergeCell ref="AR74:AR75"/>
    <mergeCell ref="AR76:AR78"/>
    <mergeCell ref="AR79:AR81"/>
    <mergeCell ref="AR82:AR83"/>
    <mergeCell ref="AR84:AR85"/>
    <mergeCell ref="AQ90:AQ91"/>
    <mergeCell ref="AQ92:AQ93"/>
    <mergeCell ref="AQ94:AQ95"/>
    <mergeCell ref="AQ99:AQ101"/>
    <mergeCell ref="AQ102:AQ103"/>
    <mergeCell ref="AQ104:AQ105"/>
    <mergeCell ref="AQ106:AQ107"/>
    <mergeCell ref="AQ108:AQ109"/>
    <mergeCell ref="AQ110:AQ111"/>
    <mergeCell ref="AQ112:AQ113"/>
    <mergeCell ref="AQ114:AQ115"/>
    <mergeCell ref="AQ116:AQ117"/>
    <mergeCell ref="AQ118:AQ119"/>
    <mergeCell ref="AR9:AR10"/>
    <mergeCell ref="AR11:AR12"/>
    <mergeCell ref="AR13:AR14"/>
    <mergeCell ref="AR15:AR16"/>
    <mergeCell ref="AR17:AR18"/>
    <mergeCell ref="AR19:AR20"/>
    <mergeCell ref="AR21:AR22"/>
    <mergeCell ref="AR23:AR24"/>
    <mergeCell ref="AR25:AR27"/>
    <mergeCell ref="AR28:AR29"/>
    <mergeCell ref="AR30:AR31"/>
    <mergeCell ref="AR32:AR33"/>
    <mergeCell ref="AR34:AR35"/>
    <mergeCell ref="AR36:AR37"/>
    <mergeCell ref="AR38:AR39"/>
    <mergeCell ref="AR40:AR41"/>
    <mergeCell ref="AR42:AR43"/>
    <mergeCell ref="AR44:AR45"/>
    <mergeCell ref="AR46:AR47"/>
    <mergeCell ref="AQ53:AQ54"/>
    <mergeCell ref="AQ55:AQ56"/>
    <mergeCell ref="AQ57:AQ58"/>
    <mergeCell ref="AQ59:AQ60"/>
    <mergeCell ref="AQ61:AQ63"/>
    <mergeCell ref="AQ64:AQ65"/>
    <mergeCell ref="AQ66:AQ67"/>
    <mergeCell ref="AQ68:AQ69"/>
    <mergeCell ref="AQ70:AQ71"/>
    <mergeCell ref="AQ72:AQ73"/>
    <mergeCell ref="AQ74:AQ75"/>
    <mergeCell ref="AQ76:AQ78"/>
    <mergeCell ref="AQ79:AQ81"/>
    <mergeCell ref="AQ82:AQ83"/>
    <mergeCell ref="AQ84:AQ85"/>
    <mergeCell ref="AQ86:AQ87"/>
    <mergeCell ref="AQ88:AQ89"/>
    <mergeCell ref="AP94:AP95"/>
    <mergeCell ref="AP99:AP101"/>
    <mergeCell ref="AP102:AP103"/>
    <mergeCell ref="AP104:AP105"/>
    <mergeCell ref="AP106:AP107"/>
    <mergeCell ref="AP108:AP109"/>
    <mergeCell ref="AP110:AP111"/>
    <mergeCell ref="AP112:AP113"/>
    <mergeCell ref="AP114:AP115"/>
    <mergeCell ref="AP116:AP117"/>
    <mergeCell ref="AP118:AP119"/>
    <mergeCell ref="AQ9:AQ10"/>
    <mergeCell ref="AQ11:AQ12"/>
    <mergeCell ref="AQ13:AQ14"/>
    <mergeCell ref="AQ15:AQ16"/>
    <mergeCell ref="AQ17:AQ18"/>
    <mergeCell ref="AQ19:AQ20"/>
    <mergeCell ref="AQ21:AQ22"/>
    <mergeCell ref="AQ23:AQ24"/>
    <mergeCell ref="AQ25:AQ27"/>
    <mergeCell ref="AQ28:AQ29"/>
    <mergeCell ref="AQ30:AQ31"/>
    <mergeCell ref="AQ32:AQ33"/>
    <mergeCell ref="AQ34:AQ35"/>
    <mergeCell ref="AQ36:AQ37"/>
    <mergeCell ref="AQ38:AQ39"/>
    <mergeCell ref="AQ40:AQ41"/>
    <mergeCell ref="AQ42:AQ43"/>
    <mergeCell ref="AQ44:AQ45"/>
    <mergeCell ref="AQ46:AQ47"/>
    <mergeCell ref="AQ48:AQ50"/>
    <mergeCell ref="AQ51:AQ52"/>
    <mergeCell ref="AP57:AP58"/>
    <mergeCell ref="AP59:AP60"/>
    <mergeCell ref="AP61:AP63"/>
    <mergeCell ref="AP64:AP65"/>
    <mergeCell ref="AP66:AP67"/>
    <mergeCell ref="AP68:AP69"/>
    <mergeCell ref="AP70:AP71"/>
    <mergeCell ref="AP72:AP73"/>
    <mergeCell ref="AP74:AP75"/>
    <mergeCell ref="AP76:AP78"/>
    <mergeCell ref="AP79:AP81"/>
    <mergeCell ref="AP82:AP83"/>
    <mergeCell ref="AP84:AP85"/>
    <mergeCell ref="AP86:AP87"/>
    <mergeCell ref="AP88:AP89"/>
    <mergeCell ref="AP90:AP91"/>
    <mergeCell ref="AP92:AP93"/>
    <mergeCell ref="AO102:AO103"/>
    <mergeCell ref="AO104:AO105"/>
    <mergeCell ref="AO106:AO107"/>
    <mergeCell ref="AO108:AO109"/>
    <mergeCell ref="AO110:AO111"/>
    <mergeCell ref="AO112:AO113"/>
    <mergeCell ref="AO114:AO115"/>
    <mergeCell ref="AO116:AO117"/>
    <mergeCell ref="AO118:AO119"/>
    <mergeCell ref="AP9:AP10"/>
    <mergeCell ref="AP11:AP12"/>
    <mergeCell ref="AP13:AP14"/>
    <mergeCell ref="AP15:AP16"/>
    <mergeCell ref="AP17:AP18"/>
    <mergeCell ref="AP19:AP20"/>
    <mergeCell ref="AP21:AP22"/>
    <mergeCell ref="AP23:AP24"/>
    <mergeCell ref="AP25:AP27"/>
    <mergeCell ref="AP28:AP29"/>
    <mergeCell ref="AP30:AP31"/>
    <mergeCell ref="AP32:AP33"/>
    <mergeCell ref="AP34:AP35"/>
    <mergeCell ref="AP36:AP37"/>
    <mergeCell ref="AP38:AP39"/>
    <mergeCell ref="AP40:AP41"/>
    <mergeCell ref="AP42:AP43"/>
    <mergeCell ref="AP44:AP45"/>
    <mergeCell ref="AP46:AP47"/>
    <mergeCell ref="AP48:AP50"/>
    <mergeCell ref="AP51:AP52"/>
    <mergeCell ref="AP53:AP54"/>
    <mergeCell ref="AP55:AP56"/>
    <mergeCell ref="AO61:AO63"/>
    <mergeCell ref="AO64:AO65"/>
    <mergeCell ref="AO66:AO67"/>
    <mergeCell ref="AO68:AO69"/>
    <mergeCell ref="AO70:AO71"/>
    <mergeCell ref="AO72:AO73"/>
    <mergeCell ref="AO74:AO75"/>
    <mergeCell ref="AO76:AO78"/>
    <mergeCell ref="AO79:AO81"/>
    <mergeCell ref="AO82:AO83"/>
    <mergeCell ref="AO84:AO85"/>
    <mergeCell ref="AO86:AO87"/>
    <mergeCell ref="AO88:AO89"/>
    <mergeCell ref="AO90:AO91"/>
    <mergeCell ref="AO92:AO93"/>
    <mergeCell ref="AO94:AO95"/>
    <mergeCell ref="AO99:AO101"/>
    <mergeCell ref="AN106:AN107"/>
    <mergeCell ref="AN108:AN109"/>
    <mergeCell ref="AN110:AN111"/>
    <mergeCell ref="AN112:AN113"/>
    <mergeCell ref="AN114:AN115"/>
    <mergeCell ref="AN116:AN117"/>
    <mergeCell ref="AN118:AN119"/>
    <mergeCell ref="AO9:AO10"/>
    <mergeCell ref="AO11:AO12"/>
    <mergeCell ref="AO13:AO14"/>
    <mergeCell ref="AO15:AO16"/>
    <mergeCell ref="AO17:AO18"/>
    <mergeCell ref="AO19:AO20"/>
    <mergeCell ref="AO21:AO22"/>
    <mergeCell ref="AO23:AO24"/>
    <mergeCell ref="AO25:AO27"/>
    <mergeCell ref="AO28:AO29"/>
    <mergeCell ref="AO30:AO31"/>
    <mergeCell ref="AO32:AO33"/>
    <mergeCell ref="AO34:AO35"/>
    <mergeCell ref="AO36:AO37"/>
    <mergeCell ref="AO38:AO39"/>
    <mergeCell ref="AO40:AO41"/>
    <mergeCell ref="AO42:AO43"/>
    <mergeCell ref="AO44:AO45"/>
    <mergeCell ref="AO46:AO47"/>
    <mergeCell ref="AO48:AO50"/>
    <mergeCell ref="AO51:AO52"/>
    <mergeCell ref="AO53:AO54"/>
    <mergeCell ref="AO55:AO56"/>
    <mergeCell ref="AO57:AO58"/>
    <mergeCell ref="AO59:AO60"/>
    <mergeCell ref="AN66:AN67"/>
    <mergeCell ref="AN68:AN69"/>
    <mergeCell ref="AN70:AN71"/>
    <mergeCell ref="AN72:AN73"/>
    <mergeCell ref="AN74:AN75"/>
    <mergeCell ref="AN76:AN78"/>
    <mergeCell ref="AN79:AN81"/>
    <mergeCell ref="AN82:AN83"/>
    <mergeCell ref="AN84:AN85"/>
    <mergeCell ref="AN86:AN87"/>
    <mergeCell ref="AN88:AN89"/>
    <mergeCell ref="AN90:AN91"/>
    <mergeCell ref="AN92:AN93"/>
    <mergeCell ref="AN94:AN95"/>
    <mergeCell ref="AN99:AN101"/>
    <mergeCell ref="AN102:AN103"/>
    <mergeCell ref="AN104:AN105"/>
    <mergeCell ref="AM110:AM111"/>
    <mergeCell ref="AM112:AM113"/>
    <mergeCell ref="AM114:AM115"/>
    <mergeCell ref="AM116:AM117"/>
    <mergeCell ref="AM118:AM119"/>
    <mergeCell ref="AN9:AN10"/>
    <mergeCell ref="AN11:AN12"/>
    <mergeCell ref="AN13:AN14"/>
    <mergeCell ref="AN15:AN16"/>
    <mergeCell ref="AN17:AN18"/>
    <mergeCell ref="AN19:AN20"/>
    <mergeCell ref="AN21:AN22"/>
    <mergeCell ref="AN23:AN24"/>
    <mergeCell ref="AN25:AN27"/>
    <mergeCell ref="AN28:AN29"/>
    <mergeCell ref="AN30:AN31"/>
    <mergeCell ref="AN32:AN33"/>
    <mergeCell ref="AN34:AN35"/>
    <mergeCell ref="AN36:AN37"/>
    <mergeCell ref="AN38:AN39"/>
    <mergeCell ref="AN40:AN41"/>
    <mergeCell ref="AN42:AN43"/>
    <mergeCell ref="AN44:AN45"/>
    <mergeCell ref="AN46:AN47"/>
    <mergeCell ref="AN48:AN50"/>
    <mergeCell ref="AN51:AN52"/>
    <mergeCell ref="AN53:AN54"/>
    <mergeCell ref="AN55:AN56"/>
    <mergeCell ref="AN57:AN58"/>
    <mergeCell ref="AN59:AN60"/>
    <mergeCell ref="AN61:AN63"/>
    <mergeCell ref="AN64:AN65"/>
    <mergeCell ref="AM72:AM73"/>
    <mergeCell ref="AM74:AM75"/>
    <mergeCell ref="AM76:AM78"/>
    <mergeCell ref="AM79:AM81"/>
    <mergeCell ref="AM82:AM83"/>
    <mergeCell ref="AM84:AM85"/>
    <mergeCell ref="AM86:AM87"/>
    <mergeCell ref="AM88:AM89"/>
    <mergeCell ref="AM90:AM91"/>
    <mergeCell ref="AM92:AM93"/>
    <mergeCell ref="AM94:AM95"/>
    <mergeCell ref="AM96:AM98"/>
    <mergeCell ref="AM99:AM101"/>
    <mergeCell ref="AM102:AM103"/>
    <mergeCell ref="AM104:AM105"/>
    <mergeCell ref="AM106:AM107"/>
    <mergeCell ref="AM108:AM109"/>
    <mergeCell ref="AL106:AL107"/>
    <mergeCell ref="AM6:AM8"/>
    <mergeCell ref="AM9:AM10"/>
    <mergeCell ref="AM11:AM12"/>
    <mergeCell ref="AM13:AM14"/>
    <mergeCell ref="AM15:AM16"/>
    <mergeCell ref="AM17:AM18"/>
    <mergeCell ref="AM19:AM20"/>
    <mergeCell ref="AM21:AM22"/>
    <mergeCell ref="AM23:AM24"/>
    <mergeCell ref="AM25:AM27"/>
    <mergeCell ref="AM28:AM29"/>
    <mergeCell ref="AM30:AM31"/>
    <mergeCell ref="AM32:AM33"/>
    <mergeCell ref="AM34:AM35"/>
    <mergeCell ref="AM36:AM37"/>
    <mergeCell ref="AM38:AM39"/>
    <mergeCell ref="AM40:AM41"/>
    <mergeCell ref="AM42:AM43"/>
    <mergeCell ref="AM44:AM45"/>
    <mergeCell ref="AM46:AM47"/>
    <mergeCell ref="AM48:AM50"/>
    <mergeCell ref="AM51:AM52"/>
    <mergeCell ref="AM53:AM54"/>
    <mergeCell ref="AM55:AM56"/>
    <mergeCell ref="AM57:AM58"/>
    <mergeCell ref="AM59:AM60"/>
    <mergeCell ref="AM61:AM63"/>
    <mergeCell ref="AM64:AM65"/>
    <mergeCell ref="AM66:AM67"/>
    <mergeCell ref="AM68:AM69"/>
    <mergeCell ref="AM70:AM71"/>
    <mergeCell ref="AK9:AK10"/>
    <mergeCell ref="AK15:AK16"/>
    <mergeCell ref="AK19:AK20"/>
    <mergeCell ref="AK23:AK24"/>
    <mergeCell ref="AK28:AK29"/>
    <mergeCell ref="AK30:AK31"/>
    <mergeCell ref="AK34:AK35"/>
    <mergeCell ref="AK38:AK39"/>
    <mergeCell ref="AK55:AK56"/>
    <mergeCell ref="AK57:AK58"/>
    <mergeCell ref="AK59:AK60"/>
    <mergeCell ref="AK72:AK73"/>
    <mergeCell ref="AK74:AK75"/>
    <mergeCell ref="AK94:AK95"/>
    <mergeCell ref="AK102:AK103"/>
    <mergeCell ref="AK106:AK107"/>
    <mergeCell ref="AL6:AL8"/>
    <mergeCell ref="AL9:AL10"/>
    <mergeCell ref="AL15:AL16"/>
    <mergeCell ref="AL19:AL20"/>
    <mergeCell ref="AL23:AL24"/>
    <mergeCell ref="AL28:AL29"/>
    <mergeCell ref="AL30:AL31"/>
    <mergeCell ref="AL34:AL35"/>
    <mergeCell ref="AL38:AL39"/>
    <mergeCell ref="AL55:AL56"/>
    <mergeCell ref="AL57:AL58"/>
    <mergeCell ref="AL59:AL60"/>
    <mergeCell ref="AL72:AL73"/>
    <mergeCell ref="AL74:AL75"/>
    <mergeCell ref="AL94:AL95"/>
    <mergeCell ref="AL102:AL103"/>
    <mergeCell ref="AI9:AI10"/>
    <mergeCell ref="AI15:AI16"/>
    <mergeCell ref="AI19:AI20"/>
    <mergeCell ref="AI23:AI24"/>
    <mergeCell ref="AI28:AI29"/>
    <mergeCell ref="AI30:AI31"/>
    <mergeCell ref="AI34:AI35"/>
    <mergeCell ref="AI38:AI39"/>
    <mergeCell ref="AI55:AI56"/>
    <mergeCell ref="AI57:AI58"/>
    <mergeCell ref="AI59:AI60"/>
    <mergeCell ref="AI72:AI73"/>
    <mergeCell ref="AI74:AI75"/>
    <mergeCell ref="AI94:AI95"/>
    <mergeCell ref="AI102:AI103"/>
    <mergeCell ref="AI106:AI107"/>
    <mergeCell ref="AJ9:AJ10"/>
    <mergeCell ref="AJ15:AJ16"/>
    <mergeCell ref="AJ19:AJ20"/>
    <mergeCell ref="AJ23:AJ24"/>
    <mergeCell ref="AJ28:AJ29"/>
    <mergeCell ref="AJ30:AJ31"/>
    <mergeCell ref="AJ34:AJ35"/>
    <mergeCell ref="AJ38:AJ39"/>
    <mergeCell ref="AJ55:AJ56"/>
    <mergeCell ref="AJ57:AJ58"/>
    <mergeCell ref="AJ59:AJ60"/>
    <mergeCell ref="AJ72:AJ73"/>
    <mergeCell ref="AJ74:AJ75"/>
    <mergeCell ref="AJ94:AJ95"/>
    <mergeCell ref="AJ102:AJ103"/>
    <mergeCell ref="AJ106:AJ107"/>
    <mergeCell ref="AG9:AG10"/>
    <mergeCell ref="AG15:AG16"/>
    <mergeCell ref="AG19:AG20"/>
    <mergeCell ref="AG23:AG24"/>
    <mergeCell ref="AG28:AG29"/>
    <mergeCell ref="AG30:AG31"/>
    <mergeCell ref="AG34:AG35"/>
    <mergeCell ref="AG38:AG39"/>
    <mergeCell ref="AG55:AG56"/>
    <mergeCell ref="AG57:AG58"/>
    <mergeCell ref="AG59:AG60"/>
    <mergeCell ref="AG72:AG73"/>
    <mergeCell ref="AG74:AG75"/>
    <mergeCell ref="AG94:AG95"/>
    <mergeCell ref="AG102:AG103"/>
    <mergeCell ref="AG106:AG107"/>
    <mergeCell ref="AH9:AH10"/>
    <mergeCell ref="AH15:AH16"/>
    <mergeCell ref="AH19:AH20"/>
    <mergeCell ref="AH23:AH24"/>
    <mergeCell ref="AH28:AH29"/>
    <mergeCell ref="AH30:AH31"/>
    <mergeCell ref="AH34:AH35"/>
    <mergeCell ref="AH38:AH39"/>
    <mergeCell ref="AH55:AH56"/>
    <mergeCell ref="AH57:AH58"/>
    <mergeCell ref="AH59:AH60"/>
    <mergeCell ref="AH72:AH73"/>
    <mergeCell ref="AH74:AH75"/>
    <mergeCell ref="AH94:AH95"/>
    <mergeCell ref="AH102:AH103"/>
    <mergeCell ref="AH106:AH107"/>
    <mergeCell ref="AE9:AE10"/>
    <mergeCell ref="AE15:AE16"/>
    <mergeCell ref="AE19:AE20"/>
    <mergeCell ref="AE23:AE24"/>
    <mergeCell ref="AE28:AE29"/>
    <mergeCell ref="AE30:AE31"/>
    <mergeCell ref="AE34:AE35"/>
    <mergeCell ref="AE38:AE39"/>
    <mergeCell ref="AE55:AE56"/>
    <mergeCell ref="AE57:AE58"/>
    <mergeCell ref="AE59:AE60"/>
    <mergeCell ref="AE72:AE73"/>
    <mergeCell ref="AE74:AE75"/>
    <mergeCell ref="AE94:AE95"/>
    <mergeCell ref="AE102:AE103"/>
    <mergeCell ref="AE106:AE107"/>
    <mergeCell ref="AF9:AF10"/>
    <mergeCell ref="AF15:AF16"/>
    <mergeCell ref="AF19:AF20"/>
    <mergeCell ref="AF23:AF24"/>
    <mergeCell ref="AF28:AF29"/>
    <mergeCell ref="AF30:AF31"/>
    <mergeCell ref="AF34:AF35"/>
    <mergeCell ref="AF38:AF39"/>
    <mergeCell ref="AF55:AF56"/>
    <mergeCell ref="AF57:AF58"/>
    <mergeCell ref="AF59:AF60"/>
    <mergeCell ref="AF72:AF73"/>
    <mergeCell ref="AF74:AF75"/>
    <mergeCell ref="AF94:AF95"/>
    <mergeCell ref="AF102:AF103"/>
    <mergeCell ref="AF106:AF107"/>
    <mergeCell ref="AC9:AC10"/>
    <mergeCell ref="AC15:AC16"/>
    <mergeCell ref="AC19:AC20"/>
    <mergeCell ref="AC23:AC24"/>
    <mergeCell ref="AC28:AC29"/>
    <mergeCell ref="AC30:AC31"/>
    <mergeCell ref="AC34:AC35"/>
    <mergeCell ref="AC38:AC39"/>
    <mergeCell ref="AC55:AC56"/>
    <mergeCell ref="AC57:AC58"/>
    <mergeCell ref="AC59:AC60"/>
    <mergeCell ref="AC72:AC73"/>
    <mergeCell ref="AC74:AC75"/>
    <mergeCell ref="AC94:AC95"/>
    <mergeCell ref="AC102:AC103"/>
    <mergeCell ref="AC106:AC107"/>
    <mergeCell ref="AD9:AD10"/>
    <mergeCell ref="AD15:AD16"/>
    <mergeCell ref="AD19:AD20"/>
    <mergeCell ref="AD23:AD24"/>
    <mergeCell ref="AD28:AD29"/>
    <mergeCell ref="AD30:AD31"/>
    <mergeCell ref="AD34:AD35"/>
    <mergeCell ref="AD38:AD39"/>
    <mergeCell ref="AD55:AD56"/>
    <mergeCell ref="AD57:AD58"/>
    <mergeCell ref="AD59:AD60"/>
    <mergeCell ref="AD72:AD73"/>
    <mergeCell ref="AD74:AD75"/>
    <mergeCell ref="AD94:AD95"/>
    <mergeCell ref="AD102:AD103"/>
    <mergeCell ref="AD106:AD107"/>
    <mergeCell ref="AA9:AA10"/>
    <mergeCell ref="AA15:AA16"/>
    <mergeCell ref="AA19:AA20"/>
    <mergeCell ref="AA23:AA24"/>
    <mergeCell ref="AA28:AA29"/>
    <mergeCell ref="AA30:AA31"/>
    <mergeCell ref="AA34:AA35"/>
    <mergeCell ref="AA38:AA39"/>
    <mergeCell ref="AA55:AA56"/>
    <mergeCell ref="AA57:AA58"/>
    <mergeCell ref="AA59:AA60"/>
    <mergeCell ref="AA72:AA73"/>
    <mergeCell ref="AA74:AA75"/>
    <mergeCell ref="AA94:AA95"/>
    <mergeCell ref="AA102:AA103"/>
    <mergeCell ref="AA106:AA107"/>
    <mergeCell ref="AB9:AB10"/>
    <mergeCell ref="AB15:AB16"/>
    <mergeCell ref="AB19:AB20"/>
    <mergeCell ref="AB23:AB24"/>
    <mergeCell ref="AB28:AB29"/>
    <mergeCell ref="AB30:AB31"/>
    <mergeCell ref="AB34:AB35"/>
    <mergeCell ref="AB38:AB39"/>
    <mergeCell ref="AB55:AB56"/>
    <mergeCell ref="AB57:AB58"/>
    <mergeCell ref="AB59:AB60"/>
    <mergeCell ref="AB72:AB73"/>
    <mergeCell ref="AB74:AB75"/>
    <mergeCell ref="AB94:AB95"/>
    <mergeCell ref="AB102:AB103"/>
    <mergeCell ref="AB106:AB107"/>
    <mergeCell ref="Y9:Y10"/>
    <mergeCell ref="Y15:Y16"/>
    <mergeCell ref="Y19:Y20"/>
    <mergeCell ref="Y23:Y24"/>
    <mergeCell ref="Y28:Y29"/>
    <mergeCell ref="Y30:Y31"/>
    <mergeCell ref="Y34:Y35"/>
    <mergeCell ref="Y38:Y39"/>
    <mergeCell ref="Y55:Y56"/>
    <mergeCell ref="Y57:Y58"/>
    <mergeCell ref="Y59:Y60"/>
    <mergeCell ref="Y72:Y73"/>
    <mergeCell ref="Y74:Y75"/>
    <mergeCell ref="Y94:Y95"/>
    <mergeCell ref="Y102:Y103"/>
    <mergeCell ref="Y106:Y107"/>
    <mergeCell ref="Z9:Z10"/>
    <mergeCell ref="Z15:Z16"/>
    <mergeCell ref="Z19:Z20"/>
    <mergeCell ref="Z23:Z24"/>
    <mergeCell ref="Z28:Z29"/>
    <mergeCell ref="Z30:Z31"/>
    <mergeCell ref="Z34:Z35"/>
    <mergeCell ref="Z38:Z39"/>
    <mergeCell ref="Z55:Z56"/>
    <mergeCell ref="Z57:Z58"/>
    <mergeCell ref="Z59:Z60"/>
    <mergeCell ref="Z72:Z73"/>
    <mergeCell ref="Z74:Z75"/>
    <mergeCell ref="Z94:Z95"/>
    <mergeCell ref="Z102:Z103"/>
    <mergeCell ref="Z106:Z107"/>
    <mergeCell ref="W9:W10"/>
    <mergeCell ref="W15:W16"/>
    <mergeCell ref="W19:W20"/>
    <mergeCell ref="W23:W24"/>
    <mergeCell ref="W28:W29"/>
    <mergeCell ref="W30:W31"/>
    <mergeCell ref="W34:W35"/>
    <mergeCell ref="W38:W39"/>
    <mergeCell ref="W55:W56"/>
    <mergeCell ref="W57:W58"/>
    <mergeCell ref="W59:W60"/>
    <mergeCell ref="W72:W73"/>
    <mergeCell ref="W74:W75"/>
    <mergeCell ref="W94:W95"/>
    <mergeCell ref="W102:W103"/>
    <mergeCell ref="W106:W107"/>
    <mergeCell ref="X9:X10"/>
    <mergeCell ref="X15:X16"/>
    <mergeCell ref="X19:X20"/>
    <mergeCell ref="X23:X24"/>
    <mergeCell ref="X28:X29"/>
    <mergeCell ref="X30:X31"/>
    <mergeCell ref="X34:X35"/>
    <mergeCell ref="X38:X39"/>
    <mergeCell ref="X55:X56"/>
    <mergeCell ref="X57:X58"/>
    <mergeCell ref="X59:X60"/>
    <mergeCell ref="X72:X73"/>
    <mergeCell ref="X74:X75"/>
    <mergeCell ref="X94:X95"/>
    <mergeCell ref="X102:X103"/>
    <mergeCell ref="X106:X107"/>
    <mergeCell ref="U9:U10"/>
    <mergeCell ref="U15:U16"/>
    <mergeCell ref="U19:U20"/>
    <mergeCell ref="U23:U24"/>
    <mergeCell ref="U28:U29"/>
    <mergeCell ref="U30:U31"/>
    <mergeCell ref="U34:U35"/>
    <mergeCell ref="U38:U39"/>
    <mergeCell ref="U55:U56"/>
    <mergeCell ref="U57:U58"/>
    <mergeCell ref="U59:U60"/>
    <mergeCell ref="U72:U73"/>
    <mergeCell ref="U74:U75"/>
    <mergeCell ref="U94:U95"/>
    <mergeCell ref="U102:U103"/>
    <mergeCell ref="U106:U107"/>
    <mergeCell ref="V9:V10"/>
    <mergeCell ref="V15:V16"/>
    <mergeCell ref="V19:V20"/>
    <mergeCell ref="V23:V24"/>
    <mergeCell ref="V28:V29"/>
    <mergeCell ref="V30:V31"/>
    <mergeCell ref="V34:V35"/>
    <mergeCell ref="V38:V39"/>
    <mergeCell ref="V55:V56"/>
    <mergeCell ref="V57:V58"/>
    <mergeCell ref="V59:V60"/>
    <mergeCell ref="V72:V73"/>
    <mergeCell ref="V74:V75"/>
    <mergeCell ref="V94:V95"/>
    <mergeCell ref="V102:V103"/>
    <mergeCell ref="V106:V107"/>
    <mergeCell ref="S9:S10"/>
    <mergeCell ref="S15:S16"/>
    <mergeCell ref="S19:S20"/>
    <mergeCell ref="S23:S24"/>
    <mergeCell ref="S28:S29"/>
    <mergeCell ref="S30:S31"/>
    <mergeCell ref="S34:S35"/>
    <mergeCell ref="S38:S39"/>
    <mergeCell ref="S55:S56"/>
    <mergeCell ref="S57:S58"/>
    <mergeCell ref="S59:S60"/>
    <mergeCell ref="S72:S73"/>
    <mergeCell ref="S74:S75"/>
    <mergeCell ref="S94:S95"/>
    <mergeCell ref="S102:S103"/>
    <mergeCell ref="S106:S107"/>
    <mergeCell ref="T9:T10"/>
    <mergeCell ref="T15:T16"/>
    <mergeCell ref="T19:T20"/>
    <mergeCell ref="T23:T24"/>
    <mergeCell ref="T28:T29"/>
    <mergeCell ref="T30:T31"/>
    <mergeCell ref="T34:T35"/>
    <mergeCell ref="T38:T39"/>
    <mergeCell ref="T55:T56"/>
    <mergeCell ref="T57:T58"/>
    <mergeCell ref="T59:T60"/>
    <mergeCell ref="T72:T73"/>
    <mergeCell ref="T74:T75"/>
    <mergeCell ref="T94:T95"/>
    <mergeCell ref="T102:T103"/>
    <mergeCell ref="T106:T107"/>
    <mergeCell ref="Q9:Q10"/>
    <mergeCell ref="Q15:Q16"/>
    <mergeCell ref="Q19:Q20"/>
    <mergeCell ref="Q23:Q24"/>
    <mergeCell ref="Q28:Q29"/>
    <mergeCell ref="Q30:Q31"/>
    <mergeCell ref="Q34:Q35"/>
    <mergeCell ref="Q38:Q39"/>
    <mergeCell ref="Q55:Q56"/>
    <mergeCell ref="Q57:Q58"/>
    <mergeCell ref="Q59:Q60"/>
    <mergeCell ref="Q72:Q73"/>
    <mergeCell ref="Q74:Q75"/>
    <mergeCell ref="Q94:Q95"/>
    <mergeCell ref="Q102:Q103"/>
    <mergeCell ref="Q106:Q107"/>
    <mergeCell ref="R9:R10"/>
    <mergeCell ref="R15:R16"/>
    <mergeCell ref="R19:R20"/>
    <mergeCell ref="R23:R24"/>
    <mergeCell ref="R28:R29"/>
    <mergeCell ref="R30:R31"/>
    <mergeCell ref="R34:R35"/>
    <mergeCell ref="R38:R39"/>
    <mergeCell ref="R55:R56"/>
    <mergeCell ref="R57:R58"/>
    <mergeCell ref="R59:R60"/>
    <mergeCell ref="R72:R73"/>
    <mergeCell ref="R74:R75"/>
    <mergeCell ref="R94:R95"/>
    <mergeCell ref="R102:R103"/>
    <mergeCell ref="R106:R107"/>
    <mergeCell ref="O9:O10"/>
    <mergeCell ref="O15:O16"/>
    <mergeCell ref="O19:O20"/>
    <mergeCell ref="O23:O24"/>
    <mergeCell ref="O28:O29"/>
    <mergeCell ref="O30:O31"/>
    <mergeCell ref="O34:O35"/>
    <mergeCell ref="O38:O39"/>
    <mergeCell ref="O55:O56"/>
    <mergeCell ref="O57:O58"/>
    <mergeCell ref="O59:O60"/>
    <mergeCell ref="O72:O73"/>
    <mergeCell ref="O74:O75"/>
    <mergeCell ref="O94:O95"/>
    <mergeCell ref="O102:O103"/>
    <mergeCell ref="O106:O107"/>
    <mergeCell ref="P9:P10"/>
    <mergeCell ref="P15:P16"/>
    <mergeCell ref="P19:P20"/>
    <mergeCell ref="P23:P24"/>
    <mergeCell ref="P28:P29"/>
    <mergeCell ref="P30:P31"/>
    <mergeCell ref="P34:P35"/>
    <mergeCell ref="P38:P39"/>
    <mergeCell ref="P55:P56"/>
    <mergeCell ref="P57:P58"/>
    <mergeCell ref="P59:P60"/>
    <mergeCell ref="P72:P73"/>
    <mergeCell ref="P74:P75"/>
    <mergeCell ref="P94:P95"/>
    <mergeCell ref="P102:P103"/>
    <mergeCell ref="P106:P107"/>
    <mergeCell ref="M9:M10"/>
    <mergeCell ref="M15:M16"/>
    <mergeCell ref="M19:M20"/>
    <mergeCell ref="M23:M24"/>
    <mergeCell ref="M28:M29"/>
    <mergeCell ref="M30:M31"/>
    <mergeCell ref="M34:M35"/>
    <mergeCell ref="M38:M39"/>
    <mergeCell ref="M55:M56"/>
    <mergeCell ref="M57:M58"/>
    <mergeCell ref="M59:M60"/>
    <mergeCell ref="M72:M73"/>
    <mergeCell ref="M74:M75"/>
    <mergeCell ref="M94:M95"/>
    <mergeCell ref="M102:M103"/>
    <mergeCell ref="M106:M107"/>
    <mergeCell ref="N9:N10"/>
    <mergeCell ref="N15:N16"/>
    <mergeCell ref="N19:N20"/>
    <mergeCell ref="N23:N24"/>
    <mergeCell ref="N28:N29"/>
    <mergeCell ref="N30:N31"/>
    <mergeCell ref="N34:N35"/>
    <mergeCell ref="N38:N39"/>
    <mergeCell ref="N55:N56"/>
    <mergeCell ref="N57:N58"/>
    <mergeCell ref="N59:N60"/>
    <mergeCell ref="N72:N73"/>
    <mergeCell ref="N74:N75"/>
    <mergeCell ref="N94:N95"/>
    <mergeCell ref="N102:N103"/>
    <mergeCell ref="N106:N107"/>
    <mergeCell ref="K9:K10"/>
    <mergeCell ref="K15:K16"/>
    <mergeCell ref="K19:K20"/>
    <mergeCell ref="K23:K24"/>
    <mergeCell ref="K28:K29"/>
    <mergeCell ref="K30:K31"/>
    <mergeCell ref="K34:K35"/>
    <mergeCell ref="K38:K39"/>
    <mergeCell ref="K55:K56"/>
    <mergeCell ref="K57:K58"/>
    <mergeCell ref="K59:K60"/>
    <mergeCell ref="K72:K73"/>
    <mergeCell ref="K74:K75"/>
    <mergeCell ref="K94:K95"/>
    <mergeCell ref="K102:K103"/>
    <mergeCell ref="K106:K107"/>
    <mergeCell ref="L9:L10"/>
    <mergeCell ref="L15:L16"/>
    <mergeCell ref="L19:L20"/>
    <mergeCell ref="L23:L24"/>
    <mergeCell ref="L28:L29"/>
    <mergeCell ref="L30:L31"/>
    <mergeCell ref="L34:L35"/>
    <mergeCell ref="L38:L39"/>
    <mergeCell ref="L55:L56"/>
    <mergeCell ref="L57:L58"/>
    <mergeCell ref="L59:L60"/>
    <mergeCell ref="L72:L73"/>
    <mergeCell ref="L74:L75"/>
    <mergeCell ref="L94:L95"/>
    <mergeCell ref="L102:L103"/>
    <mergeCell ref="L106:L107"/>
    <mergeCell ref="I9:I10"/>
    <mergeCell ref="I15:I16"/>
    <mergeCell ref="I19:I20"/>
    <mergeCell ref="I23:I24"/>
    <mergeCell ref="I28:I29"/>
    <mergeCell ref="I30:I31"/>
    <mergeCell ref="I34:I35"/>
    <mergeCell ref="I38:I39"/>
    <mergeCell ref="I55:I56"/>
    <mergeCell ref="I57:I58"/>
    <mergeCell ref="I59:I60"/>
    <mergeCell ref="I72:I73"/>
    <mergeCell ref="I74:I75"/>
    <mergeCell ref="I94:I95"/>
    <mergeCell ref="I102:I103"/>
    <mergeCell ref="I106:I107"/>
    <mergeCell ref="J9:J10"/>
    <mergeCell ref="J15:J16"/>
    <mergeCell ref="J19:J20"/>
    <mergeCell ref="J23:J24"/>
    <mergeCell ref="J28:J29"/>
    <mergeCell ref="J30:J31"/>
    <mergeCell ref="J34:J35"/>
    <mergeCell ref="J38:J39"/>
    <mergeCell ref="J55:J56"/>
    <mergeCell ref="J57:J58"/>
    <mergeCell ref="J59:J60"/>
    <mergeCell ref="J72:J73"/>
    <mergeCell ref="J74:J75"/>
    <mergeCell ref="J94:J95"/>
    <mergeCell ref="J102:J103"/>
    <mergeCell ref="J106:J107"/>
    <mergeCell ref="G9:G10"/>
    <mergeCell ref="G15:G16"/>
    <mergeCell ref="G19:G20"/>
    <mergeCell ref="G23:G24"/>
    <mergeCell ref="G28:G29"/>
    <mergeCell ref="G30:G31"/>
    <mergeCell ref="G34:G35"/>
    <mergeCell ref="G38:G39"/>
    <mergeCell ref="G55:G56"/>
    <mergeCell ref="G57:G58"/>
    <mergeCell ref="G59:G60"/>
    <mergeCell ref="G72:G73"/>
    <mergeCell ref="G74:G75"/>
    <mergeCell ref="G94:G95"/>
    <mergeCell ref="G102:G103"/>
    <mergeCell ref="G106:G107"/>
    <mergeCell ref="H9:H10"/>
    <mergeCell ref="H15:H16"/>
    <mergeCell ref="H19:H20"/>
    <mergeCell ref="H23:H24"/>
    <mergeCell ref="H28:H29"/>
    <mergeCell ref="H30:H31"/>
    <mergeCell ref="H34:H35"/>
    <mergeCell ref="H38:H39"/>
    <mergeCell ref="H55:H56"/>
    <mergeCell ref="H57:H58"/>
    <mergeCell ref="H59:H60"/>
    <mergeCell ref="H72:H73"/>
    <mergeCell ref="H74:H75"/>
    <mergeCell ref="H94:H95"/>
    <mergeCell ref="H102:H103"/>
    <mergeCell ref="H106:H107"/>
    <mergeCell ref="E9:E10"/>
    <mergeCell ref="E15:E16"/>
    <mergeCell ref="E19:E20"/>
    <mergeCell ref="E23:E24"/>
    <mergeCell ref="E28:E29"/>
    <mergeCell ref="E30:E31"/>
    <mergeCell ref="E34:E35"/>
    <mergeCell ref="E38:E39"/>
    <mergeCell ref="E55:E56"/>
    <mergeCell ref="E57:E58"/>
    <mergeCell ref="E59:E60"/>
    <mergeCell ref="E72:E73"/>
    <mergeCell ref="E74:E75"/>
    <mergeCell ref="E94:E95"/>
    <mergeCell ref="E102:E103"/>
    <mergeCell ref="E106:E107"/>
    <mergeCell ref="F9:F10"/>
    <mergeCell ref="F15:F16"/>
    <mergeCell ref="F19:F20"/>
    <mergeCell ref="F23:F24"/>
    <mergeCell ref="F28:F29"/>
    <mergeCell ref="F30:F31"/>
    <mergeCell ref="F34:F35"/>
    <mergeCell ref="F38:F39"/>
    <mergeCell ref="F55:F56"/>
    <mergeCell ref="F57:F58"/>
    <mergeCell ref="F59:F60"/>
    <mergeCell ref="F72:F73"/>
    <mergeCell ref="F74:F75"/>
    <mergeCell ref="F94:F95"/>
    <mergeCell ref="F102:F103"/>
    <mergeCell ref="F106:F107"/>
    <mergeCell ref="D6:D8"/>
    <mergeCell ref="D9:D10"/>
    <mergeCell ref="D15:D16"/>
    <mergeCell ref="D19:D20"/>
    <mergeCell ref="D23:D24"/>
    <mergeCell ref="D28:D29"/>
    <mergeCell ref="D30:D31"/>
    <mergeCell ref="D34:D35"/>
    <mergeCell ref="D38:D39"/>
    <mergeCell ref="D55:D56"/>
    <mergeCell ref="D57:D58"/>
    <mergeCell ref="D59:D60"/>
    <mergeCell ref="D72:D73"/>
    <mergeCell ref="D74:D75"/>
    <mergeCell ref="D94:D95"/>
    <mergeCell ref="D102:D103"/>
    <mergeCell ref="D106:D107"/>
    <mergeCell ref="A92:A93"/>
    <mergeCell ref="A94:A95"/>
    <mergeCell ref="A96:A98"/>
    <mergeCell ref="A99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B6:B8"/>
    <mergeCell ref="B26:B27"/>
    <mergeCell ref="C6:C8"/>
    <mergeCell ref="C9:C10"/>
    <mergeCell ref="C15:C16"/>
    <mergeCell ref="C19:C20"/>
    <mergeCell ref="C23:C24"/>
    <mergeCell ref="C28:C29"/>
    <mergeCell ref="C30:C31"/>
    <mergeCell ref="C34:C35"/>
    <mergeCell ref="C38:C39"/>
    <mergeCell ref="C55:C56"/>
    <mergeCell ref="C57:C58"/>
    <mergeCell ref="C59:C60"/>
    <mergeCell ref="C72:C73"/>
    <mergeCell ref="C74:C75"/>
    <mergeCell ref="C94:C95"/>
    <mergeCell ref="C102:C103"/>
    <mergeCell ref="C106:C107"/>
    <mergeCell ref="A55:A56"/>
    <mergeCell ref="A57:A58"/>
    <mergeCell ref="A59:A60"/>
    <mergeCell ref="A61:A63"/>
    <mergeCell ref="A64:A65"/>
    <mergeCell ref="A66:A67"/>
    <mergeCell ref="A68:A69"/>
    <mergeCell ref="A70:A71"/>
    <mergeCell ref="A72:A73"/>
    <mergeCell ref="A74:A75"/>
    <mergeCell ref="A76:A78"/>
    <mergeCell ref="A79:A81"/>
    <mergeCell ref="A82:A83"/>
    <mergeCell ref="A84:A85"/>
    <mergeCell ref="A86:A87"/>
    <mergeCell ref="A88:A89"/>
    <mergeCell ref="A90:A91"/>
    <mergeCell ref="A1:AT1"/>
    <mergeCell ref="A2:AT2"/>
    <mergeCell ref="A3:AT3"/>
    <mergeCell ref="A4:AT4"/>
    <mergeCell ref="E6:AK6"/>
    <mergeCell ref="E7:O7"/>
    <mergeCell ref="P7:Z7"/>
    <mergeCell ref="AA7:AK7"/>
    <mergeCell ref="A121:D121"/>
    <mergeCell ref="A6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50"/>
    <mergeCell ref="A51:A52"/>
    <mergeCell ref="A53:A54"/>
  </mergeCells>
  <pageMargins left="0.34" right="0.2" top="0.51" bottom="0.25" header="0.31496062992126" footer="0.16"/>
  <pageSetup paperSize="5" scale="59" fitToHeight="0" orientation="landscape" r:id="rId1"/>
  <rowBreaks count="2" manualBreakCount="2">
    <brk id="47" max="47" man="1"/>
    <brk id="95" max="47" man="1"/>
  </rowBreaks>
  <ignoredErrors>
    <ignoredError sqref="AM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71"/>
  <sheetViews>
    <sheetView view="pageBreakPreview" topLeftCell="A34" zoomScale="69" zoomScaleNormal="69" zoomScaleSheetLayoutView="69" workbookViewId="0">
      <selection activeCell="D48" sqref="D48:AJ48"/>
    </sheetView>
  </sheetViews>
  <sheetFormatPr defaultColWidth="9" defaultRowHeight="15"/>
  <cols>
    <col min="1" max="1" width="8.5703125" style="38" customWidth="1"/>
    <col min="2" max="2" width="3.5703125" style="38" customWidth="1"/>
    <col min="3" max="3" width="12.28515625" style="38" customWidth="1"/>
    <col min="4" max="5" width="7.85546875" style="38" customWidth="1"/>
    <col min="6" max="6" width="7.85546875" style="39" customWidth="1"/>
    <col min="7" max="8" width="7.85546875" style="38" customWidth="1"/>
    <col min="9" max="9" width="6.42578125" style="39" customWidth="1"/>
    <col min="10" max="11" width="7.85546875" style="38" customWidth="1"/>
    <col min="12" max="12" width="7.85546875" style="39" customWidth="1"/>
    <col min="13" max="14" width="7.85546875" style="38" customWidth="1"/>
    <col min="15" max="15" width="4.5703125" style="39" customWidth="1"/>
    <col min="16" max="17" width="7.85546875" style="38" customWidth="1"/>
    <col min="18" max="18" width="6" style="39" customWidth="1"/>
    <col min="19" max="20" width="7.85546875" style="38" customWidth="1"/>
    <col min="21" max="21" width="6.5703125" style="39" customWidth="1"/>
    <col min="22" max="23" width="7.85546875" style="38" customWidth="1"/>
    <col min="24" max="24" width="6.5703125" style="39" customWidth="1"/>
    <col min="25" max="26" width="7.85546875" style="38" customWidth="1"/>
    <col min="27" max="27" width="5.5703125" style="39" customWidth="1"/>
    <col min="28" max="29" width="7.85546875" style="38" customWidth="1"/>
    <col min="30" max="30" width="7.140625" style="39" customWidth="1"/>
    <col min="31" max="32" width="7.85546875" style="38" customWidth="1"/>
    <col min="33" max="33" width="5.140625" style="39" customWidth="1"/>
    <col min="34" max="34" width="7.85546875" style="38" customWidth="1"/>
    <col min="35" max="35" width="6.85546875" style="38" customWidth="1"/>
    <col min="36" max="36" width="4.42578125" style="39" customWidth="1"/>
    <col min="37" max="37" width="3.140625" customWidth="1"/>
    <col min="38" max="38" width="4.85546875" customWidth="1"/>
    <col min="39" max="39" width="4.5703125" customWidth="1"/>
    <col min="40" max="40" width="0.7109375" customWidth="1"/>
    <col min="41" max="41" width="9" hidden="1" customWidth="1"/>
  </cols>
  <sheetData>
    <row r="1" spans="1:38" ht="19.5">
      <c r="A1" s="87" t="s">
        <v>266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40"/>
      <c r="AL1" s="40"/>
    </row>
    <row r="2" spans="1:38" ht="19.5">
      <c r="A2" s="87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40"/>
      <c r="AL2" s="40"/>
    </row>
    <row r="3" spans="1:38" ht="19.5">
      <c r="A3" s="87" t="s">
        <v>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40"/>
      <c r="AL3" s="40"/>
    </row>
    <row r="4" spans="1:38" ht="19.5">
      <c r="A4" s="87" t="s">
        <v>3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40"/>
      <c r="AL4" s="40"/>
    </row>
    <row r="5" spans="1:38">
      <c r="A5" s="41"/>
    </row>
    <row r="6" spans="1:38" ht="21" customHeight="1">
      <c r="A6" s="92" t="s">
        <v>267</v>
      </c>
      <c r="B6" s="92" t="s">
        <v>268</v>
      </c>
      <c r="C6" s="92" t="s">
        <v>269</v>
      </c>
      <c r="D6" s="88" t="s">
        <v>270</v>
      </c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8" ht="21" customHeight="1">
      <c r="A7" s="92"/>
      <c r="B7" s="92"/>
      <c r="C7" s="92"/>
      <c r="D7" s="42" t="s">
        <v>271</v>
      </c>
      <c r="E7" s="43" t="s">
        <v>16</v>
      </c>
      <c r="F7" s="44" t="s">
        <v>272</v>
      </c>
      <c r="G7" s="42" t="s">
        <v>271</v>
      </c>
      <c r="H7" s="43" t="s">
        <v>17</v>
      </c>
      <c r="I7" s="44" t="s">
        <v>272</v>
      </c>
      <c r="J7" s="42" t="s">
        <v>271</v>
      </c>
      <c r="K7" s="45" t="s">
        <v>18</v>
      </c>
      <c r="L7" s="44" t="s">
        <v>272</v>
      </c>
      <c r="M7" s="42" t="s">
        <v>271</v>
      </c>
      <c r="N7" s="45" t="s">
        <v>19</v>
      </c>
      <c r="O7" s="44" t="s">
        <v>272</v>
      </c>
      <c r="P7" s="42" t="s">
        <v>271</v>
      </c>
      <c r="Q7" s="46" t="s">
        <v>20</v>
      </c>
      <c r="R7" s="44" t="s">
        <v>272</v>
      </c>
      <c r="S7" s="42" t="s">
        <v>271</v>
      </c>
      <c r="T7" s="46" t="s">
        <v>21</v>
      </c>
      <c r="U7" s="44" t="s">
        <v>272</v>
      </c>
      <c r="V7" s="42" t="s">
        <v>271</v>
      </c>
      <c r="W7" s="47" t="s">
        <v>24</v>
      </c>
      <c r="X7" s="44" t="s">
        <v>272</v>
      </c>
      <c r="Y7" s="42" t="s">
        <v>271</v>
      </c>
      <c r="Z7" s="47" t="s">
        <v>25</v>
      </c>
      <c r="AA7" s="44" t="s">
        <v>272</v>
      </c>
      <c r="AB7" s="42" t="s">
        <v>271</v>
      </c>
      <c r="AC7" s="48" t="s">
        <v>22</v>
      </c>
      <c r="AD7" s="44" t="s">
        <v>272</v>
      </c>
      <c r="AE7" s="42" t="s">
        <v>271</v>
      </c>
      <c r="AF7" s="48" t="s">
        <v>23</v>
      </c>
      <c r="AG7" s="44" t="s">
        <v>272</v>
      </c>
      <c r="AH7" s="42" t="s">
        <v>271</v>
      </c>
      <c r="AI7" s="49" t="s">
        <v>26</v>
      </c>
      <c r="AJ7" s="44" t="s">
        <v>272</v>
      </c>
    </row>
    <row r="8" spans="1:38" ht="21" customHeight="1">
      <c r="A8" s="93" t="s">
        <v>273</v>
      </c>
      <c r="B8" s="50"/>
      <c r="C8" s="51" t="s">
        <v>274</v>
      </c>
      <c r="D8" s="89" t="s">
        <v>275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</row>
    <row r="9" spans="1:38" ht="21" customHeight="1">
      <c r="A9" s="93"/>
      <c r="B9" s="50">
        <v>1</v>
      </c>
      <c r="C9" s="50" t="s">
        <v>276</v>
      </c>
      <c r="D9" s="55" t="s">
        <v>218</v>
      </c>
      <c r="E9" s="55" t="s">
        <v>277</v>
      </c>
      <c r="F9" s="91" t="s">
        <v>278</v>
      </c>
      <c r="G9" s="50" t="s">
        <v>130</v>
      </c>
      <c r="H9" s="50" t="s">
        <v>279</v>
      </c>
      <c r="I9" s="90">
        <v>13</v>
      </c>
      <c r="J9" s="56" t="s">
        <v>161</v>
      </c>
      <c r="K9" s="56" t="s">
        <v>280</v>
      </c>
      <c r="L9" s="90" t="s">
        <v>281</v>
      </c>
      <c r="M9" s="50" t="s">
        <v>59</v>
      </c>
      <c r="N9" s="50" t="s">
        <v>279</v>
      </c>
      <c r="O9" s="91" t="s">
        <v>282</v>
      </c>
      <c r="P9" s="57" t="s">
        <v>211</v>
      </c>
      <c r="Q9" s="57" t="s">
        <v>283</v>
      </c>
      <c r="R9" s="90" t="s">
        <v>284</v>
      </c>
      <c r="S9" s="50" t="s">
        <v>68</v>
      </c>
      <c r="T9" s="50" t="s">
        <v>285</v>
      </c>
      <c r="U9" s="90">
        <v>17</v>
      </c>
      <c r="V9" s="50" t="s">
        <v>96</v>
      </c>
      <c r="W9" s="50" t="s">
        <v>286</v>
      </c>
      <c r="X9" s="91" t="s">
        <v>287</v>
      </c>
      <c r="Y9" s="50" t="s">
        <v>226</v>
      </c>
      <c r="Z9" s="50" t="s">
        <v>288</v>
      </c>
      <c r="AA9" s="91" t="s">
        <v>289</v>
      </c>
      <c r="AB9" s="58" t="s">
        <v>186</v>
      </c>
      <c r="AC9" s="58" t="s">
        <v>283</v>
      </c>
      <c r="AD9" s="91" t="s">
        <v>290</v>
      </c>
      <c r="AE9" s="50" t="s">
        <v>133</v>
      </c>
      <c r="AF9" s="50" t="s">
        <v>291</v>
      </c>
      <c r="AG9" s="91" t="s">
        <v>292</v>
      </c>
      <c r="AH9" s="50" t="s">
        <v>242</v>
      </c>
      <c r="AI9" s="50" t="s">
        <v>288</v>
      </c>
      <c r="AJ9" s="90">
        <v>11</v>
      </c>
    </row>
    <row r="10" spans="1:38" ht="21" customHeight="1">
      <c r="A10" s="93"/>
      <c r="B10" s="50">
        <v>2</v>
      </c>
      <c r="C10" s="50" t="s">
        <v>293</v>
      </c>
      <c r="D10" s="55" t="s">
        <v>218</v>
      </c>
      <c r="E10" s="55" t="s">
        <v>277</v>
      </c>
      <c r="F10" s="90"/>
      <c r="G10" s="50" t="s">
        <v>130</v>
      </c>
      <c r="H10" s="50" t="s">
        <v>279</v>
      </c>
      <c r="I10" s="90"/>
      <c r="J10" s="56" t="s">
        <v>161</v>
      </c>
      <c r="K10" s="56" t="s">
        <v>280</v>
      </c>
      <c r="L10" s="90"/>
      <c r="M10" s="50" t="s">
        <v>59</v>
      </c>
      <c r="N10" s="50" t="s">
        <v>279</v>
      </c>
      <c r="O10" s="90"/>
      <c r="P10" s="57" t="s">
        <v>211</v>
      </c>
      <c r="Q10" s="57" t="s">
        <v>283</v>
      </c>
      <c r="R10" s="90"/>
      <c r="S10" s="50" t="s">
        <v>68</v>
      </c>
      <c r="T10" s="50" t="s">
        <v>285</v>
      </c>
      <c r="U10" s="90"/>
      <c r="V10" s="50" t="s">
        <v>96</v>
      </c>
      <c r="W10" s="50" t="s">
        <v>286</v>
      </c>
      <c r="X10" s="90"/>
      <c r="Y10" s="50" t="s">
        <v>226</v>
      </c>
      <c r="Z10" s="50" t="s">
        <v>288</v>
      </c>
      <c r="AA10" s="90"/>
      <c r="AB10" s="58" t="s">
        <v>186</v>
      </c>
      <c r="AC10" s="58" t="s">
        <v>283</v>
      </c>
      <c r="AD10" s="90"/>
      <c r="AE10" s="50" t="s">
        <v>133</v>
      </c>
      <c r="AF10" s="50" t="s">
        <v>291</v>
      </c>
      <c r="AG10" s="90"/>
      <c r="AH10" s="50" t="s">
        <v>242</v>
      </c>
      <c r="AI10" s="50" t="s">
        <v>288</v>
      </c>
      <c r="AJ10" s="90"/>
    </row>
    <row r="11" spans="1:38" ht="21" customHeight="1">
      <c r="A11" s="93"/>
      <c r="B11" s="50">
        <v>3</v>
      </c>
      <c r="C11" s="50" t="s">
        <v>294</v>
      </c>
      <c r="D11" s="55" t="s">
        <v>218</v>
      </c>
      <c r="E11" s="55" t="s">
        <v>277</v>
      </c>
      <c r="F11" s="90"/>
      <c r="G11" s="50" t="s">
        <v>130</v>
      </c>
      <c r="H11" s="50" t="s">
        <v>279</v>
      </c>
      <c r="I11" s="90"/>
      <c r="J11" s="56" t="s">
        <v>161</v>
      </c>
      <c r="K11" s="56" t="s">
        <v>280</v>
      </c>
      <c r="L11" s="90"/>
      <c r="M11" s="50" t="s">
        <v>59</v>
      </c>
      <c r="N11" s="50" t="s">
        <v>279</v>
      </c>
      <c r="O11" s="90"/>
      <c r="P11" s="57" t="s">
        <v>255</v>
      </c>
      <c r="Q11" s="57" t="s">
        <v>295</v>
      </c>
      <c r="R11" s="90"/>
      <c r="S11" s="50" t="s">
        <v>68</v>
      </c>
      <c r="T11" s="50" t="s">
        <v>285</v>
      </c>
      <c r="U11" s="90"/>
      <c r="V11" s="50" t="s">
        <v>96</v>
      </c>
      <c r="W11" s="50" t="s">
        <v>286</v>
      </c>
      <c r="X11" s="90"/>
      <c r="Y11" s="50" t="s">
        <v>226</v>
      </c>
      <c r="Z11" s="50" t="s">
        <v>288</v>
      </c>
      <c r="AA11" s="90"/>
      <c r="AB11" s="58" t="s">
        <v>182</v>
      </c>
      <c r="AC11" s="58" t="s">
        <v>296</v>
      </c>
      <c r="AD11" s="90"/>
      <c r="AE11" s="50" t="s">
        <v>133</v>
      </c>
      <c r="AF11" s="50" t="s">
        <v>291</v>
      </c>
      <c r="AG11" s="90"/>
      <c r="AH11" s="50" t="s">
        <v>242</v>
      </c>
      <c r="AI11" s="50" t="s">
        <v>288</v>
      </c>
      <c r="AJ11" s="90"/>
    </row>
    <row r="12" spans="1:38" ht="21" customHeight="1">
      <c r="A12" s="93"/>
      <c r="B12" s="50"/>
      <c r="C12" s="51" t="s">
        <v>297</v>
      </c>
      <c r="D12" s="89" t="s">
        <v>298</v>
      </c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</row>
    <row r="13" spans="1:38" ht="21" customHeight="1">
      <c r="A13" s="93"/>
      <c r="B13" s="50">
        <v>4</v>
      </c>
      <c r="C13" s="50" t="s">
        <v>299</v>
      </c>
      <c r="D13" s="55" t="s">
        <v>211</v>
      </c>
      <c r="E13" s="55" t="s">
        <v>283</v>
      </c>
      <c r="F13" s="91" t="s">
        <v>278</v>
      </c>
      <c r="G13" s="50" t="s">
        <v>96</v>
      </c>
      <c r="H13" s="50" t="s">
        <v>286</v>
      </c>
      <c r="I13" s="90">
        <v>13</v>
      </c>
      <c r="J13" s="56" t="s">
        <v>244</v>
      </c>
      <c r="K13" s="56" t="s">
        <v>283</v>
      </c>
      <c r="L13" s="90" t="s">
        <v>281</v>
      </c>
      <c r="M13" s="50" t="s">
        <v>164</v>
      </c>
      <c r="N13" s="50" t="s">
        <v>300</v>
      </c>
      <c r="O13" s="91" t="s">
        <v>282</v>
      </c>
      <c r="P13" s="57" t="s">
        <v>255</v>
      </c>
      <c r="Q13" s="57" t="s">
        <v>295</v>
      </c>
      <c r="R13" s="90" t="s">
        <v>284</v>
      </c>
      <c r="S13" s="50" t="s">
        <v>59</v>
      </c>
      <c r="T13" s="50" t="s">
        <v>279</v>
      </c>
      <c r="U13" s="90">
        <v>17</v>
      </c>
      <c r="V13" s="50" t="s">
        <v>133</v>
      </c>
      <c r="W13" s="50" t="s">
        <v>291</v>
      </c>
      <c r="X13" s="91" t="s">
        <v>287</v>
      </c>
      <c r="Y13" s="50" t="s">
        <v>166</v>
      </c>
      <c r="Z13" s="50" t="s">
        <v>301</v>
      </c>
      <c r="AA13" s="91" t="s">
        <v>289</v>
      </c>
      <c r="AB13" s="58" t="s">
        <v>182</v>
      </c>
      <c r="AC13" s="58" t="s">
        <v>296</v>
      </c>
      <c r="AD13" s="91" t="s">
        <v>290</v>
      </c>
      <c r="AE13" s="50" t="s">
        <v>148</v>
      </c>
      <c r="AF13" s="50" t="s">
        <v>285</v>
      </c>
      <c r="AG13" s="91" t="s">
        <v>292</v>
      </c>
      <c r="AH13" s="50" t="s">
        <v>76</v>
      </c>
      <c r="AI13" s="50" t="s">
        <v>302</v>
      </c>
      <c r="AJ13" s="90">
        <v>11</v>
      </c>
    </row>
    <row r="14" spans="1:38" ht="21" customHeight="1">
      <c r="A14" s="93"/>
      <c r="B14" s="50">
        <v>5</v>
      </c>
      <c r="C14" s="50" t="s">
        <v>303</v>
      </c>
      <c r="D14" s="55" t="s">
        <v>211</v>
      </c>
      <c r="E14" s="55" t="s">
        <v>283</v>
      </c>
      <c r="F14" s="90"/>
      <c r="G14" s="50" t="s">
        <v>96</v>
      </c>
      <c r="H14" s="50" t="s">
        <v>286</v>
      </c>
      <c r="I14" s="90"/>
      <c r="J14" s="56" t="s">
        <v>244</v>
      </c>
      <c r="K14" s="56" t="s">
        <v>283</v>
      </c>
      <c r="L14" s="90"/>
      <c r="M14" s="50" t="s">
        <v>164</v>
      </c>
      <c r="N14" s="50" t="s">
        <v>300</v>
      </c>
      <c r="O14" s="90"/>
      <c r="P14" s="57" t="s">
        <v>255</v>
      </c>
      <c r="Q14" s="57" t="s">
        <v>295</v>
      </c>
      <c r="R14" s="90"/>
      <c r="S14" s="50" t="s">
        <v>59</v>
      </c>
      <c r="T14" s="50" t="s">
        <v>279</v>
      </c>
      <c r="U14" s="90"/>
      <c r="V14" s="50" t="s">
        <v>133</v>
      </c>
      <c r="W14" s="50" t="s">
        <v>291</v>
      </c>
      <c r="X14" s="90"/>
      <c r="Y14" s="50" t="s">
        <v>166</v>
      </c>
      <c r="Z14" s="50" t="s">
        <v>301</v>
      </c>
      <c r="AA14" s="90"/>
      <c r="AB14" s="58" t="s">
        <v>182</v>
      </c>
      <c r="AC14" s="58" t="s">
        <v>296</v>
      </c>
      <c r="AD14" s="90"/>
      <c r="AE14" s="50" t="s">
        <v>148</v>
      </c>
      <c r="AF14" s="50" t="s">
        <v>285</v>
      </c>
      <c r="AG14" s="90"/>
      <c r="AH14" s="50" t="s">
        <v>76</v>
      </c>
      <c r="AI14" s="50" t="s">
        <v>302</v>
      </c>
      <c r="AJ14" s="90"/>
    </row>
    <row r="15" spans="1:38" ht="21" customHeight="1">
      <c r="A15" s="93"/>
      <c r="B15" s="50"/>
      <c r="C15" s="51" t="s">
        <v>431</v>
      </c>
      <c r="D15" s="89" t="s">
        <v>304</v>
      </c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</row>
    <row r="16" spans="1:38" ht="21" customHeight="1">
      <c r="A16" s="93"/>
      <c r="B16" s="50">
        <v>6</v>
      </c>
      <c r="C16" s="50" t="s">
        <v>432</v>
      </c>
      <c r="D16" s="55" t="s">
        <v>120</v>
      </c>
      <c r="E16" s="55" t="s">
        <v>277</v>
      </c>
      <c r="F16" s="91" t="s">
        <v>278</v>
      </c>
      <c r="G16" s="50" t="s">
        <v>96</v>
      </c>
      <c r="H16" s="50" t="s">
        <v>286</v>
      </c>
      <c r="I16" s="90">
        <v>13</v>
      </c>
      <c r="J16" s="56" t="s">
        <v>159</v>
      </c>
      <c r="K16" s="56" t="s">
        <v>280</v>
      </c>
      <c r="L16" s="90" t="s">
        <v>281</v>
      </c>
      <c r="M16" s="50" t="s">
        <v>89</v>
      </c>
      <c r="N16" s="50" t="s">
        <v>285</v>
      </c>
      <c r="O16" s="91" t="s">
        <v>282</v>
      </c>
      <c r="P16" s="57" t="s">
        <v>255</v>
      </c>
      <c r="Q16" s="57" t="s">
        <v>295</v>
      </c>
      <c r="R16" s="90" t="s">
        <v>284</v>
      </c>
      <c r="S16" s="50" t="s">
        <v>59</v>
      </c>
      <c r="T16" s="50" t="s">
        <v>279</v>
      </c>
      <c r="U16" s="90">
        <v>17</v>
      </c>
      <c r="V16" s="50" t="s">
        <v>305</v>
      </c>
      <c r="W16" s="50" t="s">
        <v>306</v>
      </c>
      <c r="X16" s="91" t="s">
        <v>287</v>
      </c>
      <c r="Y16" s="50" t="s">
        <v>199</v>
      </c>
      <c r="Z16" s="50" t="s">
        <v>307</v>
      </c>
      <c r="AA16" s="91" t="s">
        <v>289</v>
      </c>
      <c r="AB16" s="58" t="s">
        <v>182</v>
      </c>
      <c r="AC16" s="58" t="s">
        <v>296</v>
      </c>
      <c r="AD16" s="91" t="s">
        <v>290</v>
      </c>
      <c r="AE16" s="50" t="s">
        <v>148</v>
      </c>
      <c r="AF16" s="50" t="s">
        <v>285</v>
      </c>
      <c r="AG16" s="91" t="s">
        <v>292</v>
      </c>
      <c r="AH16" s="50" t="s">
        <v>68</v>
      </c>
      <c r="AI16" s="50" t="s">
        <v>285</v>
      </c>
      <c r="AJ16" s="90">
        <v>11</v>
      </c>
    </row>
    <row r="17" spans="1:36" ht="21" customHeight="1">
      <c r="A17" s="93"/>
      <c r="B17" s="50">
        <v>7</v>
      </c>
      <c r="C17" s="50" t="s">
        <v>433</v>
      </c>
      <c r="D17" s="55" t="s">
        <v>120</v>
      </c>
      <c r="E17" s="55" t="s">
        <v>277</v>
      </c>
      <c r="F17" s="90"/>
      <c r="G17" s="50" t="s">
        <v>170</v>
      </c>
      <c r="H17" s="50" t="s">
        <v>306</v>
      </c>
      <c r="I17" s="90"/>
      <c r="J17" s="56" t="s">
        <v>159</v>
      </c>
      <c r="K17" s="56" t="s">
        <v>280</v>
      </c>
      <c r="L17" s="90"/>
      <c r="M17" s="50" t="s">
        <v>89</v>
      </c>
      <c r="N17" s="50" t="s">
        <v>285</v>
      </c>
      <c r="O17" s="90"/>
      <c r="P17" s="57" t="s">
        <v>255</v>
      </c>
      <c r="Q17" s="57" t="s">
        <v>295</v>
      </c>
      <c r="R17" s="90"/>
      <c r="S17" s="50" t="s">
        <v>96</v>
      </c>
      <c r="T17" s="50" t="s">
        <v>286</v>
      </c>
      <c r="U17" s="90"/>
      <c r="V17" s="50" t="s">
        <v>226</v>
      </c>
      <c r="W17" s="50" t="s">
        <v>288</v>
      </c>
      <c r="X17" s="90"/>
      <c r="Y17" s="50" t="s">
        <v>199</v>
      </c>
      <c r="Z17" s="50" t="s">
        <v>307</v>
      </c>
      <c r="AA17" s="90"/>
      <c r="AB17" s="58" t="s">
        <v>182</v>
      </c>
      <c r="AC17" s="58" t="s">
        <v>296</v>
      </c>
      <c r="AD17" s="90"/>
      <c r="AE17" s="50" t="s">
        <v>305</v>
      </c>
      <c r="AF17" s="50" t="s">
        <v>306</v>
      </c>
      <c r="AG17" s="90"/>
      <c r="AH17" s="50" t="s">
        <v>68</v>
      </c>
      <c r="AI17" s="50" t="s">
        <v>285</v>
      </c>
      <c r="AJ17" s="90"/>
    </row>
    <row r="18" spans="1:36" ht="21" customHeight="1">
      <c r="A18" s="93"/>
      <c r="B18" s="50">
        <v>8</v>
      </c>
      <c r="C18" s="50" t="s">
        <v>434</v>
      </c>
      <c r="D18" s="55" t="s">
        <v>120</v>
      </c>
      <c r="E18" s="55" t="s">
        <v>277</v>
      </c>
      <c r="F18" s="90"/>
      <c r="G18" s="50" t="s">
        <v>170</v>
      </c>
      <c r="H18" s="50" t="s">
        <v>306</v>
      </c>
      <c r="I18" s="90"/>
      <c r="J18" s="56" t="s">
        <v>159</v>
      </c>
      <c r="K18" s="56" t="s">
        <v>280</v>
      </c>
      <c r="L18" s="90"/>
      <c r="M18" s="50" t="s">
        <v>89</v>
      </c>
      <c r="N18" s="50" t="s">
        <v>285</v>
      </c>
      <c r="O18" s="90"/>
      <c r="P18" s="57" t="s">
        <v>255</v>
      </c>
      <c r="Q18" s="57" t="s">
        <v>295</v>
      </c>
      <c r="R18" s="90"/>
      <c r="S18" s="50" t="s">
        <v>96</v>
      </c>
      <c r="T18" s="50" t="s">
        <v>286</v>
      </c>
      <c r="U18" s="90"/>
      <c r="V18" s="50" t="s">
        <v>226</v>
      </c>
      <c r="W18" s="50" t="s">
        <v>288</v>
      </c>
      <c r="X18" s="90"/>
      <c r="Y18" s="50" t="s">
        <v>133</v>
      </c>
      <c r="Z18" s="50" t="s">
        <v>291</v>
      </c>
      <c r="AA18" s="90"/>
      <c r="AB18" s="58" t="s">
        <v>182</v>
      </c>
      <c r="AC18" s="58" t="s">
        <v>296</v>
      </c>
      <c r="AD18" s="90"/>
      <c r="AE18" s="50" t="s">
        <v>305</v>
      </c>
      <c r="AF18" s="50" t="s">
        <v>306</v>
      </c>
      <c r="AG18" s="90"/>
      <c r="AH18" s="50" t="s">
        <v>68</v>
      </c>
      <c r="AI18" s="50" t="s">
        <v>285</v>
      </c>
      <c r="AJ18" s="90"/>
    </row>
    <row r="19" spans="1:36" ht="21" customHeight="1">
      <c r="A19" s="93" t="s">
        <v>308</v>
      </c>
      <c r="B19" s="50"/>
      <c r="C19" s="51" t="s">
        <v>274</v>
      </c>
      <c r="D19" s="89" t="s">
        <v>309</v>
      </c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</row>
    <row r="20" spans="1:36" ht="21" customHeight="1">
      <c r="A20" s="93"/>
      <c r="B20" s="50">
        <v>1</v>
      </c>
      <c r="C20" s="50" t="s">
        <v>276</v>
      </c>
      <c r="D20" s="50" t="s">
        <v>130</v>
      </c>
      <c r="E20" s="50" t="s">
        <v>279</v>
      </c>
      <c r="F20" s="90">
        <v>12</v>
      </c>
      <c r="G20" s="50" t="s">
        <v>242</v>
      </c>
      <c r="H20" s="50" t="s">
        <v>288</v>
      </c>
      <c r="I20" s="90">
        <v>13</v>
      </c>
      <c r="J20" s="50" t="s">
        <v>233</v>
      </c>
      <c r="K20" s="50" t="s">
        <v>301</v>
      </c>
      <c r="L20" s="91" t="s">
        <v>310</v>
      </c>
      <c r="M20" s="50" t="s">
        <v>305</v>
      </c>
      <c r="N20" s="50" t="s">
        <v>306</v>
      </c>
      <c r="O20" s="91" t="s">
        <v>282</v>
      </c>
      <c r="P20" s="50" t="s">
        <v>226</v>
      </c>
      <c r="Q20" s="50" t="s">
        <v>288</v>
      </c>
      <c r="R20" s="91" t="s">
        <v>311</v>
      </c>
      <c r="S20" s="50" t="s">
        <v>133</v>
      </c>
      <c r="T20" s="50" t="s">
        <v>291</v>
      </c>
      <c r="U20" s="90">
        <v>17</v>
      </c>
      <c r="V20" s="53" t="s">
        <v>211</v>
      </c>
      <c r="W20" s="53" t="s">
        <v>283</v>
      </c>
      <c r="X20" s="90" t="s">
        <v>312</v>
      </c>
      <c r="Y20" s="50" t="s">
        <v>68</v>
      </c>
      <c r="Z20" s="50" t="s">
        <v>285</v>
      </c>
      <c r="AA20" s="91" t="s">
        <v>289</v>
      </c>
      <c r="AB20" s="50" t="s">
        <v>164</v>
      </c>
      <c r="AC20" s="50" t="s">
        <v>300</v>
      </c>
      <c r="AD20" s="91" t="s">
        <v>313</v>
      </c>
      <c r="AE20" s="50" t="s">
        <v>96</v>
      </c>
      <c r="AF20" s="50" t="s">
        <v>286</v>
      </c>
      <c r="AG20" s="91" t="s">
        <v>292</v>
      </c>
      <c r="AH20" s="50" t="s">
        <v>59</v>
      </c>
      <c r="AI20" s="50" t="s">
        <v>279</v>
      </c>
      <c r="AJ20" s="90">
        <v>11</v>
      </c>
    </row>
    <row r="21" spans="1:36" ht="21" customHeight="1">
      <c r="A21" s="93"/>
      <c r="B21" s="50">
        <v>2</v>
      </c>
      <c r="C21" s="50" t="s">
        <v>293</v>
      </c>
      <c r="D21" s="50" t="s">
        <v>130</v>
      </c>
      <c r="E21" s="50" t="s">
        <v>279</v>
      </c>
      <c r="F21" s="90"/>
      <c r="G21" s="50" t="s">
        <v>242</v>
      </c>
      <c r="H21" s="50" t="s">
        <v>288</v>
      </c>
      <c r="I21" s="90"/>
      <c r="J21" s="50" t="s">
        <v>233</v>
      </c>
      <c r="K21" s="50" t="s">
        <v>301</v>
      </c>
      <c r="L21" s="90"/>
      <c r="M21" s="50" t="s">
        <v>305</v>
      </c>
      <c r="N21" s="50" t="s">
        <v>306</v>
      </c>
      <c r="O21" s="90"/>
      <c r="P21" s="50" t="s">
        <v>226</v>
      </c>
      <c r="Q21" s="50" t="s">
        <v>288</v>
      </c>
      <c r="R21" s="90"/>
      <c r="S21" s="50" t="s">
        <v>133</v>
      </c>
      <c r="T21" s="50" t="s">
        <v>291</v>
      </c>
      <c r="U21" s="90"/>
      <c r="V21" s="53" t="s">
        <v>211</v>
      </c>
      <c r="W21" s="53" t="s">
        <v>283</v>
      </c>
      <c r="X21" s="90"/>
      <c r="Y21" s="50" t="s">
        <v>68</v>
      </c>
      <c r="Z21" s="50" t="s">
        <v>285</v>
      </c>
      <c r="AA21" s="90"/>
      <c r="AB21" s="50" t="s">
        <v>164</v>
      </c>
      <c r="AC21" s="50" t="s">
        <v>300</v>
      </c>
      <c r="AD21" s="90"/>
      <c r="AE21" s="50" t="s">
        <v>96</v>
      </c>
      <c r="AF21" s="50" t="s">
        <v>286</v>
      </c>
      <c r="AG21" s="90"/>
      <c r="AH21" s="50" t="s">
        <v>59</v>
      </c>
      <c r="AI21" s="50" t="s">
        <v>279</v>
      </c>
      <c r="AJ21" s="90"/>
    </row>
    <row r="22" spans="1:36" ht="21" customHeight="1">
      <c r="A22" s="93"/>
      <c r="B22" s="50">
        <v>3</v>
      </c>
      <c r="C22" s="50" t="s">
        <v>294</v>
      </c>
      <c r="D22" s="50" t="s">
        <v>130</v>
      </c>
      <c r="E22" s="50" t="s">
        <v>279</v>
      </c>
      <c r="F22" s="90"/>
      <c r="G22" s="50" t="s">
        <v>89</v>
      </c>
      <c r="H22" s="50" t="s">
        <v>285</v>
      </c>
      <c r="I22" s="90"/>
      <c r="J22" s="50" t="s">
        <v>164</v>
      </c>
      <c r="K22" s="50" t="s">
        <v>300</v>
      </c>
      <c r="L22" s="90"/>
      <c r="M22" s="50" t="s">
        <v>226</v>
      </c>
      <c r="N22" s="50" t="s">
        <v>288</v>
      </c>
      <c r="O22" s="90"/>
      <c r="P22" s="50" t="s">
        <v>148</v>
      </c>
      <c r="Q22" s="50" t="s">
        <v>285</v>
      </c>
      <c r="R22" s="90"/>
      <c r="S22" s="50" t="s">
        <v>233</v>
      </c>
      <c r="T22" s="50" t="s">
        <v>301</v>
      </c>
      <c r="U22" s="90"/>
      <c r="V22" s="62" t="s">
        <v>53</v>
      </c>
      <c r="W22" s="53" t="s">
        <v>314</v>
      </c>
      <c r="X22" s="90"/>
      <c r="Y22" s="50" t="s">
        <v>68</v>
      </c>
      <c r="Z22" s="50" t="s">
        <v>285</v>
      </c>
      <c r="AA22" s="90"/>
      <c r="AB22" s="50" t="s">
        <v>242</v>
      </c>
      <c r="AC22" s="50" t="s">
        <v>288</v>
      </c>
      <c r="AD22" s="90"/>
      <c r="AE22" s="50" t="s">
        <v>96</v>
      </c>
      <c r="AF22" s="50" t="s">
        <v>286</v>
      </c>
      <c r="AG22" s="90"/>
      <c r="AH22" s="50" t="s">
        <v>59</v>
      </c>
      <c r="AI22" s="50" t="s">
        <v>279</v>
      </c>
      <c r="AJ22" s="90"/>
    </row>
    <row r="23" spans="1:36" ht="21" customHeight="1">
      <c r="A23" s="93"/>
      <c r="B23" s="50"/>
      <c r="C23" s="51" t="s">
        <v>297</v>
      </c>
      <c r="D23" s="89" t="s">
        <v>298</v>
      </c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</row>
    <row r="24" spans="1:36" ht="21" customHeight="1">
      <c r="A24" s="93"/>
      <c r="B24" s="50">
        <v>4</v>
      </c>
      <c r="C24" s="50" t="s">
        <v>299</v>
      </c>
      <c r="D24" s="50" t="s">
        <v>96</v>
      </c>
      <c r="E24" s="50" t="s">
        <v>286</v>
      </c>
      <c r="F24" s="90">
        <v>12</v>
      </c>
      <c r="G24" s="50" t="s">
        <v>89</v>
      </c>
      <c r="H24" s="50" t="s">
        <v>285</v>
      </c>
      <c r="I24" s="90">
        <v>13</v>
      </c>
      <c r="J24" s="50" t="s">
        <v>305</v>
      </c>
      <c r="K24" s="50" t="s">
        <v>306</v>
      </c>
      <c r="L24" s="91" t="s">
        <v>282</v>
      </c>
      <c r="M24" s="50" t="s">
        <v>246</v>
      </c>
      <c r="N24" s="50" t="s">
        <v>315</v>
      </c>
      <c r="O24" s="91" t="s">
        <v>282</v>
      </c>
      <c r="P24" s="50" t="s">
        <v>233</v>
      </c>
      <c r="Q24" s="50" t="s">
        <v>301</v>
      </c>
      <c r="R24" s="91" t="s">
        <v>311</v>
      </c>
      <c r="S24" s="50" t="s">
        <v>226</v>
      </c>
      <c r="T24" s="50" t="s">
        <v>288</v>
      </c>
      <c r="U24" s="90">
        <v>17</v>
      </c>
      <c r="V24" s="62" t="s">
        <v>53</v>
      </c>
      <c r="W24" s="53" t="s">
        <v>314</v>
      </c>
      <c r="X24" s="90" t="s">
        <v>312</v>
      </c>
      <c r="Y24" s="50" t="s">
        <v>59</v>
      </c>
      <c r="Z24" s="50" t="s">
        <v>279</v>
      </c>
      <c r="AA24" s="91" t="s">
        <v>289</v>
      </c>
      <c r="AB24" s="50" t="s">
        <v>104</v>
      </c>
      <c r="AC24" s="50" t="s">
        <v>301</v>
      </c>
      <c r="AD24" s="91" t="s">
        <v>313</v>
      </c>
      <c r="AE24" s="50" t="s">
        <v>242</v>
      </c>
      <c r="AF24" s="50" t="s">
        <v>288</v>
      </c>
      <c r="AG24" s="91" t="s">
        <v>292</v>
      </c>
      <c r="AH24" s="50" t="s">
        <v>199</v>
      </c>
      <c r="AI24" s="50" t="s">
        <v>307</v>
      </c>
      <c r="AJ24" s="90">
        <v>11</v>
      </c>
    </row>
    <row r="25" spans="1:36" ht="21" customHeight="1">
      <c r="A25" s="93"/>
      <c r="B25" s="50">
        <v>5</v>
      </c>
      <c r="C25" s="50" t="s">
        <v>303</v>
      </c>
      <c r="D25" s="50" t="s">
        <v>177</v>
      </c>
      <c r="E25" s="50" t="s">
        <v>307</v>
      </c>
      <c r="F25" s="90"/>
      <c r="G25" s="50" t="s">
        <v>89</v>
      </c>
      <c r="H25" s="50" t="s">
        <v>285</v>
      </c>
      <c r="I25" s="90"/>
      <c r="J25" s="50" t="s">
        <v>305</v>
      </c>
      <c r="K25" s="50" t="s">
        <v>306</v>
      </c>
      <c r="L25" s="90"/>
      <c r="M25" s="50" t="s">
        <v>246</v>
      </c>
      <c r="N25" s="50" t="s">
        <v>315</v>
      </c>
      <c r="O25" s="90"/>
      <c r="P25" s="50" t="s">
        <v>233</v>
      </c>
      <c r="Q25" s="50" t="s">
        <v>301</v>
      </c>
      <c r="R25" s="90"/>
      <c r="S25" s="50" t="s">
        <v>226</v>
      </c>
      <c r="T25" s="50" t="s">
        <v>288</v>
      </c>
      <c r="U25" s="90"/>
      <c r="V25" s="62" t="s">
        <v>53</v>
      </c>
      <c r="W25" s="53" t="s">
        <v>314</v>
      </c>
      <c r="X25" s="90"/>
      <c r="Y25" s="50" t="s">
        <v>59</v>
      </c>
      <c r="Z25" s="50" t="s">
        <v>279</v>
      </c>
      <c r="AA25" s="90"/>
      <c r="AB25" s="50" t="s">
        <v>104</v>
      </c>
      <c r="AC25" s="50" t="s">
        <v>301</v>
      </c>
      <c r="AD25" s="90"/>
      <c r="AE25" s="50" t="s">
        <v>242</v>
      </c>
      <c r="AF25" s="50" t="s">
        <v>288</v>
      </c>
      <c r="AG25" s="90"/>
      <c r="AH25" s="50" t="s">
        <v>199</v>
      </c>
      <c r="AI25" s="50" t="s">
        <v>307</v>
      </c>
      <c r="AJ25" s="90"/>
    </row>
    <row r="26" spans="1:36" ht="21" customHeight="1">
      <c r="A26" s="93"/>
      <c r="B26" s="50"/>
      <c r="C26" s="51" t="s">
        <v>431</v>
      </c>
      <c r="D26" s="89" t="s">
        <v>304</v>
      </c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</row>
    <row r="27" spans="1:36" ht="21" customHeight="1">
      <c r="A27" s="93"/>
      <c r="B27" s="50">
        <v>6</v>
      </c>
      <c r="C27" s="50" t="s">
        <v>432</v>
      </c>
      <c r="D27" s="50" t="s">
        <v>177</v>
      </c>
      <c r="E27" s="50" t="s">
        <v>307</v>
      </c>
      <c r="F27" s="90">
        <v>12</v>
      </c>
      <c r="G27" s="50" t="s">
        <v>233</v>
      </c>
      <c r="H27" s="50" t="s">
        <v>301</v>
      </c>
      <c r="I27" s="90">
        <v>13</v>
      </c>
      <c r="J27" s="50" t="s">
        <v>226</v>
      </c>
      <c r="K27" s="50" t="s">
        <v>288</v>
      </c>
      <c r="L27" s="91" t="s">
        <v>310</v>
      </c>
      <c r="M27" s="50" t="s">
        <v>89</v>
      </c>
      <c r="N27" s="50" t="s">
        <v>285</v>
      </c>
      <c r="O27" s="91" t="s">
        <v>282</v>
      </c>
      <c r="P27" s="50" t="s">
        <v>133</v>
      </c>
      <c r="Q27" s="50" t="s">
        <v>291</v>
      </c>
      <c r="R27" s="91" t="s">
        <v>311</v>
      </c>
      <c r="S27" s="50" t="s">
        <v>68</v>
      </c>
      <c r="T27" s="50" t="s">
        <v>285</v>
      </c>
      <c r="U27" s="90">
        <v>17</v>
      </c>
      <c r="V27" s="62" t="s">
        <v>53</v>
      </c>
      <c r="W27" s="53" t="s">
        <v>314</v>
      </c>
      <c r="X27" s="90" t="s">
        <v>312</v>
      </c>
      <c r="Y27" s="50" t="s">
        <v>59</v>
      </c>
      <c r="Z27" s="50" t="s">
        <v>279</v>
      </c>
      <c r="AA27" s="91" t="s">
        <v>289</v>
      </c>
      <c r="AB27" s="50" t="s">
        <v>96</v>
      </c>
      <c r="AC27" s="50" t="s">
        <v>286</v>
      </c>
      <c r="AD27" s="91" t="s">
        <v>313</v>
      </c>
      <c r="AE27" s="50" t="s">
        <v>148</v>
      </c>
      <c r="AF27" s="50" t="s">
        <v>285</v>
      </c>
      <c r="AG27" s="91" t="s">
        <v>292</v>
      </c>
      <c r="AH27" s="50" t="s">
        <v>170</v>
      </c>
      <c r="AI27" s="50" t="s">
        <v>306</v>
      </c>
      <c r="AJ27" s="90">
        <v>11</v>
      </c>
    </row>
    <row r="28" spans="1:36" ht="21" customHeight="1">
      <c r="A28" s="93"/>
      <c r="B28" s="50">
        <v>7</v>
      </c>
      <c r="C28" s="50" t="s">
        <v>433</v>
      </c>
      <c r="D28" s="50" t="s">
        <v>242</v>
      </c>
      <c r="E28" s="50" t="s">
        <v>288</v>
      </c>
      <c r="F28" s="90"/>
      <c r="G28" s="50" t="s">
        <v>246</v>
      </c>
      <c r="H28" s="50" t="s">
        <v>315</v>
      </c>
      <c r="I28" s="90"/>
      <c r="J28" s="50" t="s">
        <v>199</v>
      </c>
      <c r="K28" s="50" t="s">
        <v>307</v>
      </c>
      <c r="L28" s="90"/>
      <c r="M28" s="50" t="s">
        <v>89</v>
      </c>
      <c r="N28" s="50" t="s">
        <v>285</v>
      </c>
      <c r="O28" s="90"/>
      <c r="P28" s="50" t="s">
        <v>133</v>
      </c>
      <c r="Q28" s="50" t="s">
        <v>291</v>
      </c>
      <c r="R28" s="90"/>
      <c r="S28" s="50" t="s">
        <v>68</v>
      </c>
      <c r="T28" s="50" t="s">
        <v>285</v>
      </c>
      <c r="U28" s="90"/>
      <c r="V28" s="62" t="s">
        <v>53</v>
      </c>
      <c r="W28" s="53" t="s">
        <v>314</v>
      </c>
      <c r="X28" s="90"/>
      <c r="Y28" s="50" t="s">
        <v>166</v>
      </c>
      <c r="Z28" s="50" t="s">
        <v>301</v>
      </c>
      <c r="AA28" s="90"/>
      <c r="AB28" s="50" t="s">
        <v>96</v>
      </c>
      <c r="AC28" s="50" t="s">
        <v>286</v>
      </c>
      <c r="AD28" s="90"/>
      <c r="AE28" s="50" t="s">
        <v>148</v>
      </c>
      <c r="AF28" s="50" t="s">
        <v>285</v>
      </c>
      <c r="AG28" s="90"/>
      <c r="AH28" s="50" t="s">
        <v>35</v>
      </c>
      <c r="AI28" s="50" t="s">
        <v>291</v>
      </c>
      <c r="AJ28" s="90"/>
    </row>
    <row r="29" spans="1:36" ht="21" customHeight="1">
      <c r="A29" s="93"/>
      <c r="B29" s="50">
        <v>8</v>
      </c>
      <c r="C29" s="50" t="s">
        <v>434</v>
      </c>
      <c r="D29" s="50" t="s">
        <v>242</v>
      </c>
      <c r="E29" s="50" t="s">
        <v>288</v>
      </c>
      <c r="F29" s="90"/>
      <c r="G29" s="50" t="s">
        <v>246</v>
      </c>
      <c r="H29" s="50" t="s">
        <v>315</v>
      </c>
      <c r="I29" s="90"/>
      <c r="J29" s="50" t="s">
        <v>199</v>
      </c>
      <c r="K29" s="50" t="s">
        <v>307</v>
      </c>
      <c r="L29" s="90"/>
      <c r="M29" s="50" t="s">
        <v>89</v>
      </c>
      <c r="N29" s="50" t="s">
        <v>285</v>
      </c>
      <c r="O29" s="90"/>
      <c r="P29" s="50" t="s">
        <v>133</v>
      </c>
      <c r="Q29" s="50" t="s">
        <v>291</v>
      </c>
      <c r="R29" s="90"/>
      <c r="S29" s="50" t="s">
        <v>68</v>
      </c>
      <c r="T29" s="50" t="s">
        <v>285</v>
      </c>
      <c r="U29" s="90"/>
      <c r="V29" s="62" t="s">
        <v>53</v>
      </c>
      <c r="W29" s="53" t="s">
        <v>314</v>
      </c>
      <c r="X29" s="90"/>
      <c r="Y29" s="50" t="s">
        <v>166</v>
      </c>
      <c r="Z29" s="50" t="s">
        <v>301</v>
      </c>
      <c r="AA29" s="90"/>
      <c r="AB29" s="50" t="s">
        <v>96</v>
      </c>
      <c r="AC29" s="50" t="s">
        <v>286</v>
      </c>
      <c r="AD29" s="90"/>
      <c r="AE29" s="50" t="s">
        <v>148</v>
      </c>
      <c r="AF29" s="50" t="s">
        <v>285</v>
      </c>
      <c r="AG29" s="90"/>
      <c r="AH29" s="50" t="s">
        <v>35</v>
      </c>
      <c r="AI29" s="50" t="s">
        <v>291</v>
      </c>
      <c r="AJ29" s="90"/>
    </row>
    <row r="30" spans="1:36" ht="21" customHeight="1">
      <c r="A30" s="93" t="s">
        <v>316</v>
      </c>
      <c r="B30" s="50"/>
      <c r="C30" s="50" t="s">
        <v>274</v>
      </c>
      <c r="D30" s="89" t="s">
        <v>309</v>
      </c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</row>
    <row r="31" spans="1:36" ht="21" customHeight="1">
      <c r="A31" s="93"/>
      <c r="B31" s="50">
        <v>1</v>
      </c>
      <c r="C31" s="50" t="s">
        <v>276</v>
      </c>
      <c r="D31" s="50" t="s">
        <v>89</v>
      </c>
      <c r="E31" s="50" t="s">
        <v>285</v>
      </c>
      <c r="F31" s="90">
        <v>12</v>
      </c>
      <c r="G31" s="50" t="s">
        <v>164</v>
      </c>
      <c r="H31" s="50" t="s">
        <v>300</v>
      </c>
      <c r="I31" s="90">
        <v>13</v>
      </c>
      <c r="J31" s="50" t="s">
        <v>96</v>
      </c>
      <c r="K31" s="50" t="s">
        <v>286</v>
      </c>
      <c r="L31" s="91" t="s">
        <v>310</v>
      </c>
      <c r="M31" s="50" t="s">
        <v>199</v>
      </c>
      <c r="N31" s="50" t="s">
        <v>307</v>
      </c>
      <c r="O31" s="91" t="s">
        <v>282</v>
      </c>
      <c r="P31" s="50" t="s">
        <v>133</v>
      </c>
      <c r="Q31" s="50" t="s">
        <v>291</v>
      </c>
      <c r="R31" s="91" t="s">
        <v>311</v>
      </c>
      <c r="S31" s="50" t="s">
        <v>226</v>
      </c>
      <c r="T31" s="50" t="s">
        <v>288</v>
      </c>
      <c r="U31" s="90">
        <v>17</v>
      </c>
      <c r="V31" s="50" t="s">
        <v>68</v>
      </c>
      <c r="W31" s="50" t="s">
        <v>285</v>
      </c>
      <c r="X31" s="91" t="s">
        <v>287</v>
      </c>
      <c r="Y31" s="53" t="s">
        <v>211</v>
      </c>
      <c r="Z31" s="53" t="s">
        <v>283</v>
      </c>
      <c r="AA31" s="90" t="s">
        <v>312</v>
      </c>
      <c r="AB31" s="50" t="s">
        <v>305</v>
      </c>
      <c r="AC31" s="50" t="s">
        <v>306</v>
      </c>
      <c r="AD31" s="91" t="s">
        <v>313</v>
      </c>
      <c r="AE31" s="50" t="s">
        <v>59</v>
      </c>
      <c r="AF31" s="50" t="s">
        <v>279</v>
      </c>
      <c r="AG31" s="91" t="s">
        <v>292</v>
      </c>
      <c r="AH31" s="50" t="s">
        <v>39</v>
      </c>
      <c r="AI31" s="50" t="s">
        <v>286</v>
      </c>
      <c r="AJ31" s="90">
        <v>11</v>
      </c>
    </row>
    <row r="32" spans="1:36" ht="21" customHeight="1">
      <c r="A32" s="93"/>
      <c r="B32" s="50">
        <v>2</v>
      </c>
      <c r="C32" s="50" t="s">
        <v>293</v>
      </c>
      <c r="D32" s="50" t="s">
        <v>89</v>
      </c>
      <c r="E32" s="50" t="s">
        <v>285</v>
      </c>
      <c r="F32" s="90"/>
      <c r="G32" s="50" t="s">
        <v>164</v>
      </c>
      <c r="H32" s="50" t="s">
        <v>300</v>
      </c>
      <c r="I32" s="90"/>
      <c r="J32" s="50" t="s">
        <v>96</v>
      </c>
      <c r="K32" s="50" t="s">
        <v>286</v>
      </c>
      <c r="L32" s="90"/>
      <c r="M32" s="50" t="s">
        <v>199</v>
      </c>
      <c r="N32" s="50" t="s">
        <v>307</v>
      </c>
      <c r="O32" s="90"/>
      <c r="P32" s="50" t="s">
        <v>148</v>
      </c>
      <c r="Q32" s="50" t="s">
        <v>285</v>
      </c>
      <c r="R32" s="90"/>
      <c r="S32" s="50" t="s">
        <v>226</v>
      </c>
      <c r="T32" s="50" t="s">
        <v>288</v>
      </c>
      <c r="U32" s="90"/>
      <c r="V32" s="50" t="s">
        <v>68</v>
      </c>
      <c r="W32" s="50" t="s">
        <v>285</v>
      </c>
      <c r="X32" s="90"/>
      <c r="Y32" s="53" t="s">
        <v>211</v>
      </c>
      <c r="Z32" s="53" t="s">
        <v>283</v>
      </c>
      <c r="AA32" s="90"/>
      <c r="AB32" s="50" t="s">
        <v>305</v>
      </c>
      <c r="AC32" s="50" t="s">
        <v>306</v>
      </c>
      <c r="AD32" s="90"/>
      <c r="AE32" s="50" t="s">
        <v>59</v>
      </c>
      <c r="AF32" s="50" t="s">
        <v>279</v>
      </c>
      <c r="AG32" s="90"/>
      <c r="AH32" s="50" t="s">
        <v>39</v>
      </c>
      <c r="AI32" s="50" t="s">
        <v>286</v>
      </c>
      <c r="AJ32" s="90"/>
    </row>
    <row r="33" spans="1:36" ht="21" customHeight="1">
      <c r="A33" s="93"/>
      <c r="B33" s="50">
        <v>3</v>
      </c>
      <c r="C33" s="50" t="s">
        <v>294</v>
      </c>
      <c r="D33" s="50" t="s">
        <v>89</v>
      </c>
      <c r="E33" s="50" t="s">
        <v>285</v>
      </c>
      <c r="F33" s="90"/>
      <c r="G33" s="50" t="s">
        <v>242</v>
      </c>
      <c r="H33" s="50" t="s">
        <v>288</v>
      </c>
      <c r="I33" s="90"/>
      <c r="J33" s="50" t="s">
        <v>96</v>
      </c>
      <c r="K33" s="50" t="s">
        <v>286</v>
      </c>
      <c r="L33" s="90"/>
      <c r="M33" s="50" t="s">
        <v>35</v>
      </c>
      <c r="N33" s="50" t="s">
        <v>291</v>
      </c>
      <c r="O33" s="90"/>
      <c r="P33" s="50" t="s">
        <v>148</v>
      </c>
      <c r="Q33" s="50" t="s">
        <v>285</v>
      </c>
      <c r="R33" s="90"/>
      <c r="S33" s="50" t="s">
        <v>199</v>
      </c>
      <c r="T33" s="50" t="s">
        <v>307</v>
      </c>
      <c r="U33" s="90"/>
      <c r="V33" s="50" t="s">
        <v>68</v>
      </c>
      <c r="W33" s="50" t="s">
        <v>285</v>
      </c>
      <c r="X33" s="90"/>
      <c r="Y33" s="62" t="s">
        <v>53</v>
      </c>
      <c r="Z33" s="53" t="s">
        <v>314</v>
      </c>
      <c r="AA33" s="90"/>
      <c r="AB33" s="50" t="s">
        <v>76</v>
      </c>
      <c r="AC33" s="50" t="s">
        <v>302</v>
      </c>
      <c r="AD33" s="90"/>
      <c r="AE33" s="50" t="s">
        <v>59</v>
      </c>
      <c r="AF33" s="50" t="s">
        <v>279</v>
      </c>
      <c r="AG33" s="90"/>
      <c r="AH33" s="50" t="s">
        <v>39</v>
      </c>
      <c r="AI33" s="50" t="s">
        <v>286</v>
      </c>
      <c r="AJ33" s="90"/>
    </row>
    <row r="34" spans="1:36" ht="21" customHeight="1">
      <c r="A34" s="93"/>
      <c r="B34" s="50"/>
      <c r="C34" s="51" t="s">
        <v>297</v>
      </c>
      <c r="D34" s="89" t="s">
        <v>298</v>
      </c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</row>
    <row r="35" spans="1:36" ht="21" customHeight="1">
      <c r="A35" s="93"/>
      <c r="B35" s="50">
        <v>4</v>
      </c>
      <c r="C35" s="50" t="s">
        <v>299</v>
      </c>
      <c r="D35" s="50" t="s">
        <v>96</v>
      </c>
      <c r="E35" s="50" t="s">
        <v>286</v>
      </c>
      <c r="F35" s="90">
        <v>12</v>
      </c>
      <c r="G35" s="50" t="s">
        <v>89</v>
      </c>
      <c r="H35" s="50" t="s">
        <v>285</v>
      </c>
      <c r="I35" s="90">
        <v>13</v>
      </c>
      <c r="J35" s="50" t="s">
        <v>246</v>
      </c>
      <c r="K35" s="50" t="s">
        <v>315</v>
      </c>
      <c r="L35" s="90"/>
      <c r="M35" s="50" t="s">
        <v>233</v>
      </c>
      <c r="N35" s="50" t="s">
        <v>301</v>
      </c>
      <c r="O35" s="91" t="s">
        <v>282</v>
      </c>
      <c r="P35" s="50" t="s">
        <v>305</v>
      </c>
      <c r="Q35" s="50" t="s">
        <v>306</v>
      </c>
      <c r="R35" s="91" t="s">
        <v>311</v>
      </c>
      <c r="S35" s="50" t="s">
        <v>199</v>
      </c>
      <c r="T35" s="50" t="s">
        <v>307</v>
      </c>
      <c r="U35" s="90">
        <v>17</v>
      </c>
      <c r="V35" s="50" t="s">
        <v>59</v>
      </c>
      <c r="W35" s="50" t="s">
        <v>279</v>
      </c>
      <c r="X35" s="91" t="s">
        <v>287</v>
      </c>
      <c r="Y35" s="62" t="s">
        <v>53</v>
      </c>
      <c r="Z35" s="53" t="s">
        <v>314</v>
      </c>
      <c r="AA35" s="90" t="s">
        <v>312</v>
      </c>
      <c r="AB35" s="50" t="s">
        <v>76</v>
      </c>
      <c r="AC35" s="50" t="s">
        <v>302</v>
      </c>
      <c r="AD35" s="91" t="s">
        <v>313</v>
      </c>
      <c r="AE35" s="50" t="s">
        <v>242</v>
      </c>
      <c r="AF35" s="50" t="s">
        <v>288</v>
      </c>
      <c r="AG35" s="91" t="s">
        <v>292</v>
      </c>
      <c r="AH35" s="50" t="s">
        <v>35</v>
      </c>
      <c r="AI35" s="50" t="s">
        <v>291</v>
      </c>
      <c r="AJ35" s="90">
        <v>11</v>
      </c>
    </row>
    <row r="36" spans="1:36" ht="21" customHeight="1">
      <c r="A36" s="93"/>
      <c r="B36" s="50">
        <v>5</v>
      </c>
      <c r="C36" s="50" t="s">
        <v>303</v>
      </c>
      <c r="D36" s="50" t="s">
        <v>96</v>
      </c>
      <c r="E36" s="50" t="s">
        <v>286</v>
      </c>
      <c r="F36" s="90"/>
      <c r="G36" s="50" t="s">
        <v>89</v>
      </c>
      <c r="H36" s="50" t="s">
        <v>285</v>
      </c>
      <c r="I36" s="90"/>
      <c r="J36" s="50" t="s">
        <v>246</v>
      </c>
      <c r="K36" s="50" t="s">
        <v>315</v>
      </c>
      <c r="L36" s="90"/>
      <c r="M36" s="50" t="s">
        <v>233</v>
      </c>
      <c r="N36" s="50" t="s">
        <v>301</v>
      </c>
      <c r="O36" s="90"/>
      <c r="P36" s="50" t="s">
        <v>305</v>
      </c>
      <c r="Q36" s="50" t="s">
        <v>306</v>
      </c>
      <c r="R36" s="90"/>
      <c r="S36" s="50" t="s">
        <v>164</v>
      </c>
      <c r="T36" s="50" t="s">
        <v>300</v>
      </c>
      <c r="U36" s="90"/>
      <c r="V36" s="50" t="s">
        <v>59</v>
      </c>
      <c r="W36" s="50" t="s">
        <v>279</v>
      </c>
      <c r="X36" s="90"/>
      <c r="Y36" s="62" t="s">
        <v>53</v>
      </c>
      <c r="Z36" s="53" t="s">
        <v>314</v>
      </c>
      <c r="AA36" s="90"/>
      <c r="AB36" s="50" t="s">
        <v>199</v>
      </c>
      <c r="AC36" s="50" t="s">
        <v>307</v>
      </c>
      <c r="AD36" s="90"/>
      <c r="AE36" s="50" t="s">
        <v>242</v>
      </c>
      <c r="AF36" s="50" t="s">
        <v>288</v>
      </c>
      <c r="AG36" s="90"/>
      <c r="AH36" s="50" t="s">
        <v>35</v>
      </c>
      <c r="AI36" s="50" t="s">
        <v>291</v>
      </c>
      <c r="AJ36" s="90"/>
    </row>
    <row r="37" spans="1:36" ht="21" customHeight="1">
      <c r="A37" s="93"/>
      <c r="B37" s="50"/>
      <c r="C37" s="51" t="s">
        <v>431</v>
      </c>
      <c r="D37" s="89" t="s">
        <v>304</v>
      </c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</row>
    <row r="38" spans="1:36" ht="21" customHeight="1">
      <c r="A38" s="93"/>
      <c r="B38" s="50">
        <v>6</v>
      </c>
      <c r="C38" s="50" t="s">
        <v>432</v>
      </c>
      <c r="D38" s="50" t="s">
        <v>170</v>
      </c>
      <c r="E38" s="50" t="s">
        <v>306</v>
      </c>
      <c r="F38" s="90">
        <v>12</v>
      </c>
      <c r="G38" s="50" t="s">
        <v>242</v>
      </c>
      <c r="H38" s="50" t="s">
        <v>288</v>
      </c>
      <c r="I38" s="90">
        <v>13</v>
      </c>
      <c r="J38" s="50" t="s">
        <v>89</v>
      </c>
      <c r="K38" s="50" t="s">
        <v>285</v>
      </c>
      <c r="L38" s="91" t="s">
        <v>310</v>
      </c>
      <c r="M38" s="50" t="s">
        <v>96</v>
      </c>
      <c r="N38" s="50" t="s">
        <v>286</v>
      </c>
      <c r="O38" s="91" t="s">
        <v>282</v>
      </c>
      <c r="P38" s="50" t="s">
        <v>148</v>
      </c>
      <c r="Q38" s="50" t="s">
        <v>285</v>
      </c>
      <c r="R38" s="91" t="s">
        <v>311</v>
      </c>
      <c r="S38" s="50" t="s">
        <v>164</v>
      </c>
      <c r="T38" s="50" t="s">
        <v>300</v>
      </c>
      <c r="U38" s="90">
        <v>17</v>
      </c>
      <c r="V38" s="50" t="s">
        <v>59</v>
      </c>
      <c r="W38" s="50" t="s">
        <v>279</v>
      </c>
      <c r="X38" s="91" t="s">
        <v>287</v>
      </c>
      <c r="Y38" s="62" t="s">
        <v>53</v>
      </c>
      <c r="Z38" s="53" t="s">
        <v>314</v>
      </c>
      <c r="AA38" s="90" t="s">
        <v>312</v>
      </c>
      <c r="AB38" s="50" t="s">
        <v>199</v>
      </c>
      <c r="AC38" s="50" t="s">
        <v>307</v>
      </c>
      <c r="AD38" s="91" t="s">
        <v>313</v>
      </c>
      <c r="AE38" s="50" t="s">
        <v>104</v>
      </c>
      <c r="AF38" s="50" t="s">
        <v>301</v>
      </c>
      <c r="AG38" s="91" t="s">
        <v>292</v>
      </c>
      <c r="AH38" s="50" t="s">
        <v>68</v>
      </c>
      <c r="AI38" s="50" t="s">
        <v>285</v>
      </c>
      <c r="AJ38" s="90">
        <v>11</v>
      </c>
    </row>
    <row r="39" spans="1:36" ht="21" customHeight="1">
      <c r="A39" s="93"/>
      <c r="B39" s="50">
        <v>7</v>
      </c>
      <c r="C39" s="50" t="s">
        <v>433</v>
      </c>
      <c r="D39" s="50" t="s">
        <v>164</v>
      </c>
      <c r="E39" s="50" t="s">
        <v>300</v>
      </c>
      <c r="F39" s="90"/>
      <c r="G39" s="50" t="s">
        <v>229</v>
      </c>
      <c r="H39" s="50" t="s">
        <v>291</v>
      </c>
      <c r="I39" s="90"/>
      <c r="J39" s="50" t="s">
        <v>89</v>
      </c>
      <c r="K39" s="50" t="s">
        <v>285</v>
      </c>
      <c r="L39" s="90"/>
      <c r="M39" s="50" t="s">
        <v>96</v>
      </c>
      <c r="N39" s="50" t="s">
        <v>286</v>
      </c>
      <c r="O39" s="90"/>
      <c r="P39" s="50" t="s">
        <v>148</v>
      </c>
      <c r="Q39" s="50" t="s">
        <v>285</v>
      </c>
      <c r="R39" s="90"/>
      <c r="S39" s="50" t="s">
        <v>233</v>
      </c>
      <c r="T39" s="50" t="s">
        <v>301</v>
      </c>
      <c r="U39" s="90"/>
      <c r="V39" s="50" t="s">
        <v>226</v>
      </c>
      <c r="W39" s="50" t="s">
        <v>288</v>
      </c>
      <c r="X39" s="90"/>
      <c r="Y39" s="62" t="s">
        <v>53</v>
      </c>
      <c r="Z39" s="53" t="s">
        <v>314</v>
      </c>
      <c r="AA39" s="90"/>
      <c r="AB39" s="50" t="s">
        <v>133</v>
      </c>
      <c r="AC39" s="50" t="s">
        <v>291</v>
      </c>
      <c r="AD39" s="90"/>
      <c r="AE39" s="50" t="s">
        <v>199</v>
      </c>
      <c r="AF39" s="50" t="s">
        <v>307</v>
      </c>
      <c r="AG39" s="90"/>
      <c r="AH39" s="50" t="s">
        <v>68</v>
      </c>
      <c r="AI39" s="50" t="s">
        <v>285</v>
      </c>
      <c r="AJ39" s="90"/>
    </row>
    <row r="40" spans="1:36" ht="21" customHeight="1">
      <c r="A40" s="93"/>
      <c r="B40" s="50">
        <v>8</v>
      </c>
      <c r="C40" s="50" t="s">
        <v>434</v>
      </c>
      <c r="D40" s="50" t="s">
        <v>164</v>
      </c>
      <c r="E40" s="50" t="s">
        <v>300</v>
      </c>
      <c r="F40" s="90"/>
      <c r="G40" s="50" t="s">
        <v>229</v>
      </c>
      <c r="H40" s="50" t="s">
        <v>291</v>
      </c>
      <c r="I40" s="90"/>
      <c r="J40" s="50" t="s">
        <v>89</v>
      </c>
      <c r="K40" s="50" t="s">
        <v>285</v>
      </c>
      <c r="L40" s="90"/>
      <c r="M40" s="50" t="s">
        <v>96</v>
      </c>
      <c r="N40" s="50" t="s">
        <v>286</v>
      </c>
      <c r="O40" s="90"/>
      <c r="P40" s="50" t="s">
        <v>148</v>
      </c>
      <c r="Q40" s="50" t="s">
        <v>285</v>
      </c>
      <c r="R40" s="90"/>
      <c r="S40" s="50" t="s">
        <v>233</v>
      </c>
      <c r="T40" s="50" t="s">
        <v>301</v>
      </c>
      <c r="U40" s="90"/>
      <c r="V40" s="50" t="s">
        <v>226</v>
      </c>
      <c r="W40" s="50" t="s">
        <v>288</v>
      </c>
      <c r="X40" s="90"/>
      <c r="Y40" s="62" t="s">
        <v>53</v>
      </c>
      <c r="Z40" s="53" t="s">
        <v>314</v>
      </c>
      <c r="AA40" s="90"/>
      <c r="AB40" s="50" t="s">
        <v>133</v>
      </c>
      <c r="AC40" s="50" t="s">
        <v>291</v>
      </c>
      <c r="AD40" s="90"/>
      <c r="AE40" s="50" t="s">
        <v>199</v>
      </c>
      <c r="AF40" s="50" t="s">
        <v>307</v>
      </c>
      <c r="AG40" s="90"/>
      <c r="AH40" s="50" t="s">
        <v>68</v>
      </c>
      <c r="AI40" s="50" t="s">
        <v>285</v>
      </c>
      <c r="AJ40" s="90"/>
    </row>
    <row r="41" spans="1:36" ht="21" customHeight="1">
      <c r="A41" s="93" t="s">
        <v>317</v>
      </c>
      <c r="B41" s="50"/>
      <c r="C41" s="51" t="s">
        <v>274</v>
      </c>
      <c r="D41" s="89" t="s">
        <v>309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</row>
    <row r="42" spans="1:36" ht="21" customHeight="1">
      <c r="A42" s="93"/>
      <c r="B42" s="50">
        <v>1</v>
      </c>
      <c r="C42" s="50" t="s">
        <v>276</v>
      </c>
      <c r="D42" s="50" t="s">
        <v>246</v>
      </c>
      <c r="E42" s="50" t="s">
        <v>315</v>
      </c>
      <c r="F42" s="90">
        <v>12</v>
      </c>
      <c r="G42" s="50" t="s">
        <v>89</v>
      </c>
      <c r="H42" s="50" t="s">
        <v>285</v>
      </c>
      <c r="I42" s="90">
        <v>13</v>
      </c>
      <c r="J42" s="50" t="s">
        <v>35</v>
      </c>
      <c r="K42" s="50" t="s">
        <v>291</v>
      </c>
      <c r="L42" s="91" t="s">
        <v>310</v>
      </c>
      <c r="M42" s="50" t="s">
        <v>233</v>
      </c>
      <c r="N42" s="50" t="s">
        <v>301</v>
      </c>
      <c r="O42" s="91" t="s">
        <v>282</v>
      </c>
      <c r="P42" s="50" t="s">
        <v>96</v>
      </c>
      <c r="Q42" s="50" t="s">
        <v>286</v>
      </c>
      <c r="R42" s="91" t="s">
        <v>311</v>
      </c>
      <c r="S42" s="50" t="s">
        <v>305</v>
      </c>
      <c r="T42" s="50" t="s">
        <v>306</v>
      </c>
      <c r="U42" s="90">
        <v>17</v>
      </c>
      <c r="V42" s="50" t="s">
        <v>133</v>
      </c>
      <c r="W42" s="50" t="s">
        <v>291</v>
      </c>
      <c r="X42" s="91" t="s">
        <v>287</v>
      </c>
      <c r="Y42" s="50" t="s">
        <v>226</v>
      </c>
      <c r="Z42" s="50" t="s">
        <v>288</v>
      </c>
      <c r="AA42" s="91" t="s">
        <v>289</v>
      </c>
      <c r="AB42" s="50" t="s">
        <v>59</v>
      </c>
      <c r="AC42" s="50" t="s">
        <v>279</v>
      </c>
      <c r="AD42" s="91" t="s">
        <v>313</v>
      </c>
      <c r="AE42" s="50" t="s">
        <v>76</v>
      </c>
      <c r="AF42" s="50" t="s">
        <v>302</v>
      </c>
      <c r="AG42" s="91" t="s">
        <v>292</v>
      </c>
      <c r="AH42" s="50" t="s">
        <v>166</v>
      </c>
      <c r="AI42" s="50" t="s">
        <v>301</v>
      </c>
      <c r="AJ42" s="90">
        <v>11</v>
      </c>
    </row>
    <row r="43" spans="1:36" ht="21" customHeight="1">
      <c r="A43" s="93"/>
      <c r="B43" s="50">
        <v>2</v>
      </c>
      <c r="C43" s="50" t="s">
        <v>293</v>
      </c>
      <c r="D43" s="50" t="s">
        <v>246</v>
      </c>
      <c r="E43" s="50" t="s">
        <v>315</v>
      </c>
      <c r="F43" s="90"/>
      <c r="G43" s="50" t="s">
        <v>202</v>
      </c>
      <c r="H43" s="50" t="s">
        <v>307</v>
      </c>
      <c r="I43" s="90"/>
      <c r="J43" s="50" t="s">
        <v>35</v>
      </c>
      <c r="K43" s="50" t="s">
        <v>291</v>
      </c>
      <c r="L43" s="90"/>
      <c r="M43" s="50" t="s">
        <v>233</v>
      </c>
      <c r="N43" s="50" t="s">
        <v>301</v>
      </c>
      <c r="O43" s="90"/>
      <c r="P43" s="50" t="s">
        <v>96</v>
      </c>
      <c r="Q43" s="50" t="s">
        <v>286</v>
      </c>
      <c r="R43" s="90"/>
      <c r="S43" s="50" t="s">
        <v>305</v>
      </c>
      <c r="T43" s="50" t="s">
        <v>306</v>
      </c>
      <c r="U43" s="90"/>
      <c r="V43" s="50" t="s">
        <v>133</v>
      </c>
      <c r="W43" s="50" t="s">
        <v>291</v>
      </c>
      <c r="X43" s="90"/>
      <c r="Y43" s="50" t="s">
        <v>164</v>
      </c>
      <c r="Z43" s="50" t="s">
        <v>300</v>
      </c>
      <c r="AA43" s="90"/>
      <c r="AB43" s="50" t="s">
        <v>59</v>
      </c>
      <c r="AC43" s="50" t="s">
        <v>279</v>
      </c>
      <c r="AD43" s="90"/>
      <c r="AE43" s="50" t="s">
        <v>76</v>
      </c>
      <c r="AF43" s="50" t="s">
        <v>302</v>
      </c>
      <c r="AG43" s="90"/>
      <c r="AH43" s="50" t="s">
        <v>166</v>
      </c>
      <c r="AI43" s="50" t="s">
        <v>301</v>
      </c>
      <c r="AJ43" s="90"/>
    </row>
    <row r="44" spans="1:36" ht="21" customHeight="1">
      <c r="A44" s="93"/>
      <c r="B44" s="50">
        <v>3</v>
      </c>
      <c r="C44" s="50" t="s">
        <v>294</v>
      </c>
      <c r="D44" s="50" t="s">
        <v>89</v>
      </c>
      <c r="E44" s="50" t="s">
        <v>285</v>
      </c>
      <c r="F44" s="90"/>
      <c r="G44" s="50" t="s">
        <v>202</v>
      </c>
      <c r="H44" s="50" t="s">
        <v>307</v>
      </c>
      <c r="I44" s="90"/>
      <c r="J44" s="50" t="s">
        <v>226</v>
      </c>
      <c r="K44" s="50" t="s">
        <v>288</v>
      </c>
      <c r="L44" s="90"/>
      <c r="M44" s="50" t="s">
        <v>35</v>
      </c>
      <c r="N44" s="50" t="s">
        <v>291</v>
      </c>
      <c r="O44" s="90"/>
      <c r="P44" s="50" t="s">
        <v>96</v>
      </c>
      <c r="Q44" s="50" t="s">
        <v>286</v>
      </c>
      <c r="R44" s="90"/>
      <c r="S44" s="50" t="s">
        <v>233</v>
      </c>
      <c r="T44" s="50" t="s">
        <v>301</v>
      </c>
      <c r="U44" s="90"/>
      <c r="V44" s="50" t="s">
        <v>305</v>
      </c>
      <c r="W44" s="50" t="s">
        <v>306</v>
      </c>
      <c r="X44" s="90"/>
      <c r="Y44" s="50" t="s">
        <v>164</v>
      </c>
      <c r="Z44" s="50" t="s">
        <v>300</v>
      </c>
      <c r="AA44" s="90"/>
      <c r="AB44" s="50" t="s">
        <v>59</v>
      </c>
      <c r="AC44" s="50" t="s">
        <v>279</v>
      </c>
      <c r="AD44" s="90"/>
      <c r="AE44" s="50" t="s">
        <v>133</v>
      </c>
      <c r="AF44" s="50" t="s">
        <v>291</v>
      </c>
      <c r="AG44" s="90"/>
      <c r="AH44" s="54" t="s">
        <v>146</v>
      </c>
      <c r="AI44" s="54" t="s">
        <v>318</v>
      </c>
      <c r="AJ44" s="52" t="s">
        <v>319</v>
      </c>
    </row>
    <row r="45" spans="1:36" ht="21" customHeight="1">
      <c r="A45" s="93"/>
      <c r="B45" s="50"/>
      <c r="C45" s="51" t="s">
        <v>297</v>
      </c>
      <c r="D45" s="89" t="s">
        <v>298</v>
      </c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</row>
    <row r="46" spans="1:36" ht="21" customHeight="1">
      <c r="A46" s="93"/>
      <c r="B46" s="50">
        <v>4</v>
      </c>
      <c r="C46" s="50" t="s">
        <v>299</v>
      </c>
      <c r="D46" s="50" t="s">
        <v>89</v>
      </c>
      <c r="E46" s="50" t="s">
        <v>285</v>
      </c>
      <c r="F46" s="90">
        <v>12</v>
      </c>
      <c r="G46" s="50" t="s">
        <v>233</v>
      </c>
      <c r="H46" s="50" t="s">
        <v>301</v>
      </c>
      <c r="I46" s="90">
        <v>13</v>
      </c>
      <c r="J46" s="50" t="s">
        <v>226</v>
      </c>
      <c r="K46" s="50" t="s">
        <v>288</v>
      </c>
      <c r="L46" s="91" t="s">
        <v>310</v>
      </c>
      <c r="M46" s="50" t="s">
        <v>35</v>
      </c>
      <c r="N46" s="50" t="s">
        <v>291</v>
      </c>
      <c r="O46" s="91" t="s">
        <v>282</v>
      </c>
      <c r="P46" s="50" t="s">
        <v>59</v>
      </c>
      <c r="Q46" s="50" t="s">
        <v>279</v>
      </c>
      <c r="R46" s="91" t="s">
        <v>311</v>
      </c>
      <c r="S46" s="50" t="s">
        <v>96</v>
      </c>
      <c r="T46" s="50" t="s">
        <v>286</v>
      </c>
      <c r="U46" s="90">
        <v>17</v>
      </c>
      <c r="V46" s="50" t="s">
        <v>166</v>
      </c>
      <c r="W46" s="50" t="s">
        <v>301</v>
      </c>
      <c r="X46" s="91" t="s">
        <v>287</v>
      </c>
      <c r="Y46" s="50" t="s">
        <v>305</v>
      </c>
      <c r="Z46" s="50" t="s">
        <v>306</v>
      </c>
      <c r="AA46" s="91" t="s">
        <v>289</v>
      </c>
      <c r="AB46" s="50" t="s">
        <v>148</v>
      </c>
      <c r="AC46" s="50" t="s">
        <v>285</v>
      </c>
      <c r="AD46" s="91" t="s">
        <v>313</v>
      </c>
      <c r="AE46" s="50" t="s">
        <v>164</v>
      </c>
      <c r="AF46" s="50" t="s">
        <v>300</v>
      </c>
      <c r="AG46" s="91" t="s">
        <v>292</v>
      </c>
      <c r="AH46" s="54" t="s">
        <v>146</v>
      </c>
      <c r="AI46" s="54" t="s">
        <v>318</v>
      </c>
      <c r="AJ46" s="90" t="s">
        <v>319</v>
      </c>
    </row>
    <row r="47" spans="1:36" ht="21" customHeight="1">
      <c r="A47" s="93"/>
      <c r="B47" s="50">
        <v>5</v>
      </c>
      <c r="C47" s="50" t="s">
        <v>303</v>
      </c>
      <c r="D47" s="50" t="s">
        <v>89</v>
      </c>
      <c r="E47" s="50" t="s">
        <v>285</v>
      </c>
      <c r="F47" s="90"/>
      <c r="G47" s="50" t="s">
        <v>233</v>
      </c>
      <c r="H47" s="50" t="s">
        <v>301</v>
      </c>
      <c r="I47" s="90"/>
      <c r="J47" s="50" t="s">
        <v>226</v>
      </c>
      <c r="K47" s="50" t="s">
        <v>288</v>
      </c>
      <c r="L47" s="90"/>
      <c r="M47" s="50" t="s">
        <v>35</v>
      </c>
      <c r="N47" s="50" t="s">
        <v>291</v>
      </c>
      <c r="O47" s="90"/>
      <c r="P47" s="50" t="s">
        <v>59</v>
      </c>
      <c r="Q47" s="50" t="s">
        <v>279</v>
      </c>
      <c r="R47" s="90"/>
      <c r="S47" s="50" t="s">
        <v>133</v>
      </c>
      <c r="T47" s="50" t="s">
        <v>291</v>
      </c>
      <c r="U47" s="90"/>
      <c r="V47" s="50" t="s">
        <v>166</v>
      </c>
      <c r="W47" s="50" t="s">
        <v>301</v>
      </c>
      <c r="X47" s="90"/>
      <c r="Y47" s="50" t="s">
        <v>305</v>
      </c>
      <c r="Z47" s="50" t="s">
        <v>306</v>
      </c>
      <c r="AA47" s="90"/>
      <c r="AB47" s="50" t="s">
        <v>148</v>
      </c>
      <c r="AC47" s="50" t="s">
        <v>285</v>
      </c>
      <c r="AD47" s="90"/>
      <c r="AE47" s="50" t="s">
        <v>164</v>
      </c>
      <c r="AF47" s="50" t="s">
        <v>300</v>
      </c>
      <c r="AG47" s="90"/>
      <c r="AH47" s="54" t="s">
        <v>146</v>
      </c>
      <c r="AI47" s="54" t="s">
        <v>318</v>
      </c>
      <c r="AJ47" s="90"/>
    </row>
    <row r="48" spans="1:36" ht="21" customHeight="1">
      <c r="A48" s="93"/>
      <c r="B48" s="50"/>
      <c r="C48" s="51" t="s">
        <v>431</v>
      </c>
      <c r="D48" s="89" t="s">
        <v>304</v>
      </c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</row>
    <row r="49" spans="1:36" ht="21" customHeight="1">
      <c r="A49" s="93"/>
      <c r="B49" s="50">
        <v>6</v>
      </c>
      <c r="C49" s="50" t="s">
        <v>432</v>
      </c>
      <c r="D49" s="50" t="s">
        <v>229</v>
      </c>
      <c r="E49" s="50" t="s">
        <v>291</v>
      </c>
      <c r="F49" s="90">
        <v>12</v>
      </c>
      <c r="G49" s="50" t="s">
        <v>233</v>
      </c>
      <c r="H49" s="50" t="s">
        <v>301</v>
      </c>
      <c r="I49" s="90">
        <v>13</v>
      </c>
      <c r="J49" s="50" t="s">
        <v>89</v>
      </c>
      <c r="K49" s="50" t="s">
        <v>285</v>
      </c>
      <c r="L49" s="91" t="s">
        <v>310</v>
      </c>
      <c r="M49" s="50" t="s">
        <v>226</v>
      </c>
      <c r="N49" s="50" t="s">
        <v>288</v>
      </c>
      <c r="O49" s="91" t="s">
        <v>282</v>
      </c>
      <c r="P49" s="50" t="s">
        <v>59</v>
      </c>
      <c r="Q49" s="50" t="s">
        <v>279</v>
      </c>
      <c r="R49" s="91" t="s">
        <v>311</v>
      </c>
      <c r="S49" s="50" t="s">
        <v>133</v>
      </c>
      <c r="T49" s="50" t="s">
        <v>291</v>
      </c>
      <c r="U49" s="90">
        <v>17</v>
      </c>
      <c r="V49" s="50" t="s">
        <v>164</v>
      </c>
      <c r="W49" s="50" t="s">
        <v>300</v>
      </c>
      <c r="X49" s="91" t="s">
        <v>287</v>
      </c>
      <c r="Y49" s="50" t="s">
        <v>96</v>
      </c>
      <c r="Z49" s="50" t="s">
        <v>286</v>
      </c>
      <c r="AA49" s="91" t="s">
        <v>289</v>
      </c>
      <c r="AB49" s="50" t="s">
        <v>148</v>
      </c>
      <c r="AC49" s="50" t="s">
        <v>285</v>
      </c>
      <c r="AD49" s="91" t="s">
        <v>313</v>
      </c>
      <c r="AE49" s="50" t="s">
        <v>104</v>
      </c>
      <c r="AF49" s="50" t="s">
        <v>301</v>
      </c>
      <c r="AG49" s="91" t="s">
        <v>292</v>
      </c>
      <c r="AH49" s="54" t="s">
        <v>146</v>
      </c>
      <c r="AI49" s="54" t="s">
        <v>318</v>
      </c>
      <c r="AJ49" s="90" t="s">
        <v>319</v>
      </c>
    </row>
    <row r="50" spans="1:36" ht="21" customHeight="1">
      <c r="A50" s="93"/>
      <c r="B50" s="50">
        <v>7</v>
      </c>
      <c r="C50" s="50" t="s">
        <v>433</v>
      </c>
      <c r="D50" s="50" t="s">
        <v>233</v>
      </c>
      <c r="E50" s="50" t="s">
        <v>301</v>
      </c>
      <c r="F50" s="90"/>
      <c r="G50" s="50" t="s">
        <v>229</v>
      </c>
      <c r="H50" s="50" t="s">
        <v>291</v>
      </c>
      <c r="I50" s="90"/>
      <c r="J50" s="50" t="s">
        <v>89</v>
      </c>
      <c r="K50" s="50" t="s">
        <v>285</v>
      </c>
      <c r="L50" s="90"/>
      <c r="M50" s="50" t="s">
        <v>226</v>
      </c>
      <c r="N50" s="50" t="s">
        <v>288</v>
      </c>
      <c r="O50" s="90"/>
      <c r="P50" s="50" t="s">
        <v>164</v>
      </c>
      <c r="Q50" s="50" t="s">
        <v>300</v>
      </c>
      <c r="R50" s="90"/>
      <c r="S50" s="50" t="s">
        <v>246</v>
      </c>
      <c r="T50" s="50" t="s">
        <v>315</v>
      </c>
      <c r="U50" s="90"/>
      <c r="V50" s="50" t="s">
        <v>199</v>
      </c>
      <c r="W50" s="50" t="s">
        <v>307</v>
      </c>
      <c r="X50" s="90"/>
      <c r="Y50" s="50" t="s">
        <v>96</v>
      </c>
      <c r="Z50" s="50" t="s">
        <v>286</v>
      </c>
      <c r="AA50" s="90"/>
      <c r="AB50" s="50" t="s">
        <v>133</v>
      </c>
      <c r="AC50" s="50" t="s">
        <v>291</v>
      </c>
      <c r="AD50" s="90"/>
      <c r="AE50" s="50" t="s">
        <v>104</v>
      </c>
      <c r="AF50" s="50" t="s">
        <v>301</v>
      </c>
      <c r="AG50" s="90"/>
      <c r="AH50" s="54" t="s">
        <v>146</v>
      </c>
      <c r="AI50" s="54" t="s">
        <v>318</v>
      </c>
      <c r="AJ50" s="90"/>
    </row>
    <row r="51" spans="1:36" ht="21" customHeight="1">
      <c r="A51" s="93"/>
      <c r="B51" s="50">
        <v>8</v>
      </c>
      <c r="C51" s="50" t="s">
        <v>434</v>
      </c>
      <c r="D51" s="50" t="s">
        <v>233</v>
      </c>
      <c r="E51" s="50" t="s">
        <v>301</v>
      </c>
      <c r="F51" s="90"/>
      <c r="G51" s="50" t="s">
        <v>229</v>
      </c>
      <c r="H51" s="50" t="s">
        <v>291</v>
      </c>
      <c r="I51" s="90"/>
      <c r="J51" s="50" t="s">
        <v>89</v>
      </c>
      <c r="K51" s="50" t="s">
        <v>285</v>
      </c>
      <c r="L51" s="90"/>
      <c r="M51" s="50" t="s">
        <v>226</v>
      </c>
      <c r="N51" s="50" t="s">
        <v>288</v>
      </c>
      <c r="O51" s="90"/>
      <c r="P51" s="50" t="s">
        <v>164</v>
      </c>
      <c r="Q51" s="50" t="s">
        <v>300</v>
      </c>
      <c r="R51" s="90"/>
      <c r="S51" s="50" t="s">
        <v>246</v>
      </c>
      <c r="T51" s="50" t="s">
        <v>315</v>
      </c>
      <c r="U51" s="90"/>
      <c r="V51" s="50" t="s">
        <v>199</v>
      </c>
      <c r="W51" s="50" t="s">
        <v>307</v>
      </c>
      <c r="X51" s="90"/>
      <c r="Y51" s="50" t="s">
        <v>96</v>
      </c>
      <c r="Z51" s="50" t="s">
        <v>286</v>
      </c>
      <c r="AA51" s="90"/>
      <c r="AB51" s="50" t="s">
        <v>133</v>
      </c>
      <c r="AC51" s="50" t="s">
        <v>291</v>
      </c>
      <c r="AD51" s="90"/>
      <c r="AE51" s="50" t="s">
        <v>104</v>
      </c>
      <c r="AF51" s="50" t="s">
        <v>301</v>
      </c>
      <c r="AG51" s="90"/>
      <c r="AH51" s="54" t="s">
        <v>146</v>
      </c>
      <c r="AI51" s="54" t="s">
        <v>318</v>
      </c>
      <c r="AJ51" s="90"/>
    </row>
    <row r="52" spans="1:36" ht="21" customHeight="1">
      <c r="A52" s="93" t="s">
        <v>320</v>
      </c>
      <c r="B52" s="50"/>
      <c r="C52" s="51" t="s">
        <v>274</v>
      </c>
      <c r="D52" s="89" t="s">
        <v>321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</row>
    <row r="53" spans="1:36" ht="21" customHeight="1">
      <c r="A53" s="93"/>
      <c r="B53" s="50">
        <v>1</v>
      </c>
      <c r="C53" s="50" t="s">
        <v>276</v>
      </c>
      <c r="D53" s="50" t="s">
        <v>242</v>
      </c>
      <c r="E53" s="50" t="s">
        <v>288</v>
      </c>
      <c r="F53" s="90">
        <v>12</v>
      </c>
      <c r="G53" s="55" t="s">
        <v>120</v>
      </c>
      <c r="H53" s="55" t="s">
        <v>277</v>
      </c>
      <c r="I53" s="91" t="s">
        <v>278</v>
      </c>
      <c r="J53" s="50" t="s">
        <v>59</v>
      </c>
      <c r="K53" s="50" t="s">
        <v>279</v>
      </c>
      <c r="L53" s="91" t="s">
        <v>310</v>
      </c>
      <c r="M53" s="56" t="s">
        <v>161</v>
      </c>
      <c r="N53" s="56" t="s">
        <v>280</v>
      </c>
      <c r="O53" s="90" t="s">
        <v>281</v>
      </c>
      <c r="P53" s="50" t="s">
        <v>199</v>
      </c>
      <c r="Q53" s="50" t="s">
        <v>307</v>
      </c>
      <c r="R53" s="91" t="s">
        <v>311</v>
      </c>
      <c r="S53" s="57" t="s">
        <v>255</v>
      </c>
      <c r="T53" s="57" t="s">
        <v>295</v>
      </c>
      <c r="U53" s="90" t="s">
        <v>284</v>
      </c>
      <c r="V53" s="50" t="s">
        <v>246</v>
      </c>
      <c r="W53" s="50" t="s">
        <v>315</v>
      </c>
      <c r="X53" s="91" t="s">
        <v>287</v>
      </c>
      <c r="Y53" s="50" t="s">
        <v>133</v>
      </c>
      <c r="Z53" s="50" t="s">
        <v>291</v>
      </c>
      <c r="AA53" s="91" t="s">
        <v>289</v>
      </c>
      <c r="AB53" s="50" t="s">
        <v>148</v>
      </c>
      <c r="AC53" s="50" t="s">
        <v>285</v>
      </c>
      <c r="AD53" s="91" t="s">
        <v>313</v>
      </c>
      <c r="AE53" s="58" t="s">
        <v>186</v>
      </c>
      <c r="AF53" s="58" t="s">
        <v>283</v>
      </c>
      <c r="AG53" s="91" t="s">
        <v>290</v>
      </c>
      <c r="AH53" s="50" t="s">
        <v>197</v>
      </c>
      <c r="AI53" s="50" t="s">
        <v>283</v>
      </c>
      <c r="AJ53" s="90">
        <v>11</v>
      </c>
    </row>
    <row r="54" spans="1:36" ht="21" customHeight="1">
      <c r="A54" s="93"/>
      <c r="B54" s="50">
        <v>2</v>
      </c>
      <c r="C54" s="50" t="s">
        <v>293</v>
      </c>
      <c r="D54" s="50" t="s">
        <v>242</v>
      </c>
      <c r="E54" s="50" t="s">
        <v>288</v>
      </c>
      <c r="F54" s="90"/>
      <c r="G54" s="55" t="s">
        <v>120</v>
      </c>
      <c r="H54" s="55" t="s">
        <v>277</v>
      </c>
      <c r="I54" s="90"/>
      <c r="J54" s="50" t="s">
        <v>59</v>
      </c>
      <c r="K54" s="50" t="s">
        <v>279</v>
      </c>
      <c r="L54" s="90"/>
      <c r="M54" s="56" t="s">
        <v>161</v>
      </c>
      <c r="N54" s="56" t="s">
        <v>280</v>
      </c>
      <c r="O54" s="90"/>
      <c r="P54" s="50" t="s">
        <v>199</v>
      </c>
      <c r="Q54" s="50" t="s">
        <v>307</v>
      </c>
      <c r="R54" s="90"/>
      <c r="S54" s="57" t="s">
        <v>255</v>
      </c>
      <c r="T54" s="57" t="s">
        <v>295</v>
      </c>
      <c r="U54" s="90"/>
      <c r="V54" s="50" t="s">
        <v>246</v>
      </c>
      <c r="W54" s="50" t="s">
        <v>315</v>
      </c>
      <c r="X54" s="90"/>
      <c r="Y54" s="50" t="s">
        <v>133</v>
      </c>
      <c r="Z54" s="50" t="s">
        <v>291</v>
      </c>
      <c r="AA54" s="90"/>
      <c r="AB54" s="50" t="s">
        <v>148</v>
      </c>
      <c r="AC54" s="50" t="s">
        <v>285</v>
      </c>
      <c r="AD54" s="90"/>
      <c r="AE54" s="58" t="s">
        <v>186</v>
      </c>
      <c r="AF54" s="58" t="s">
        <v>283</v>
      </c>
      <c r="AG54" s="90"/>
      <c r="AH54" s="50" t="s">
        <v>197</v>
      </c>
      <c r="AI54" s="50" t="s">
        <v>283</v>
      </c>
      <c r="AJ54" s="90"/>
    </row>
    <row r="55" spans="1:36" ht="21" customHeight="1">
      <c r="A55" s="93"/>
      <c r="B55" s="50">
        <v>3</v>
      </c>
      <c r="C55" s="50" t="s">
        <v>294</v>
      </c>
      <c r="D55" s="50" t="s">
        <v>170</v>
      </c>
      <c r="E55" s="50" t="s">
        <v>306</v>
      </c>
      <c r="F55" s="90"/>
      <c r="G55" s="55" t="s">
        <v>120</v>
      </c>
      <c r="H55" s="55" t="s">
        <v>277</v>
      </c>
      <c r="I55" s="90"/>
      <c r="J55" s="50" t="s">
        <v>59</v>
      </c>
      <c r="K55" s="50" t="s">
        <v>279</v>
      </c>
      <c r="L55" s="90"/>
      <c r="M55" s="56" t="s">
        <v>161</v>
      </c>
      <c r="N55" s="56" t="s">
        <v>280</v>
      </c>
      <c r="O55" s="90"/>
      <c r="P55" s="50" t="s">
        <v>233</v>
      </c>
      <c r="Q55" s="50" t="s">
        <v>301</v>
      </c>
      <c r="R55" s="90"/>
      <c r="S55" s="57" t="s">
        <v>255</v>
      </c>
      <c r="T55" s="57" t="s">
        <v>295</v>
      </c>
      <c r="U55" s="90"/>
      <c r="V55" s="50" t="s">
        <v>68</v>
      </c>
      <c r="W55" s="50" t="s">
        <v>285</v>
      </c>
      <c r="X55" s="90"/>
      <c r="Y55" s="50" t="s">
        <v>133</v>
      </c>
      <c r="Z55" s="50" t="s">
        <v>291</v>
      </c>
      <c r="AA55" s="90"/>
      <c r="AB55" s="50" t="s">
        <v>148</v>
      </c>
      <c r="AC55" s="50" t="s">
        <v>285</v>
      </c>
      <c r="AD55" s="90"/>
      <c r="AE55" s="58" t="s">
        <v>182</v>
      </c>
      <c r="AF55" s="58" t="s">
        <v>296</v>
      </c>
      <c r="AG55" s="90"/>
      <c r="AH55" s="50" t="s">
        <v>242</v>
      </c>
      <c r="AI55" s="50" t="s">
        <v>288</v>
      </c>
      <c r="AJ55" s="90"/>
    </row>
    <row r="56" spans="1:36" ht="21" customHeight="1">
      <c r="A56" s="93"/>
      <c r="B56" s="50"/>
      <c r="C56" s="51" t="s">
        <v>297</v>
      </c>
      <c r="D56" s="89" t="s">
        <v>298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</row>
    <row r="57" spans="1:36" ht="21" customHeight="1">
      <c r="A57" s="93"/>
      <c r="B57" s="50">
        <v>4</v>
      </c>
      <c r="C57" s="50" t="s">
        <v>299</v>
      </c>
      <c r="D57" s="50" t="s">
        <v>229</v>
      </c>
      <c r="E57" s="50" t="s">
        <v>291</v>
      </c>
      <c r="F57" s="90">
        <v>12</v>
      </c>
      <c r="G57" s="55" t="s">
        <v>211</v>
      </c>
      <c r="H57" s="55" t="s">
        <v>283</v>
      </c>
      <c r="I57" s="91" t="s">
        <v>278</v>
      </c>
      <c r="J57" s="50" t="s">
        <v>164</v>
      </c>
      <c r="K57" s="50" t="s">
        <v>300</v>
      </c>
      <c r="L57" s="91" t="s">
        <v>310</v>
      </c>
      <c r="M57" s="56" t="s">
        <v>244</v>
      </c>
      <c r="N57" s="56" t="s">
        <v>283</v>
      </c>
      <c r="O57" s="90" t="s">
        <v>281</v>
      </c>
      <c r="P57" s="50" t="s">
        <v>233</v>
      </c>
      <c r="Q57" s="50" t="s">
        <v>301</v>
      </c>
      <c r="R57" s="91" t="s">
        <v>311</v>
      </c>
      <c r="S57" s="57" t="s">
        <v>255</v>
      </c>
      <c r="T57" s="57" t="s">
        <v>295</v>
      </c>
      <c r="U57" s="90" t="s">
        <v>284</v>
      </c>
      <c r="V57" s="50" t="s">
        <v>68</v>
      </c>
      <c r="W57" s="50" t="s">
        <v>285</v>
      </c>
      <c r="X57" s="91" t="s">
        <v>287</v>
      </c>
      <c r="Y57" s="50" t="s">
        <v>246</v>
      </c>
      <c r="Z57" s="50" t="s">
        <v>315</v>
      </c>
      <c r="AA57" s="91" t="s">
        <v>289</v>
      </c>
      <c r="AB57" s="50" t="s">
        <v>104</v>
      </c>
      <c r="AC57" s="50" t="s">
        <v>301</v>
      </c>
      <c r="AD57" s="91" t="s">
        <v>313</v>
      </c>
      <c r="AE57" s="58" t="s">
        <v>182</v>
      </c>
      <c r="AF57" s="58" t="s">
        <v>296</v>
      </c>
      <c r="AG57" s="91" t="s">
        <v>290</v>
      </c>
      <c r="AH57" s="50" t="s">
        <v>166</v>
      </c>
      <c r="AI57" s="50" t="s">
        <v>301</v>
      </c>
      <c r="AJ57" s="90">
        <v>11</v>
      </c>
    </row>
    <row r="58" spans="1:36" ht="21" customHeight="1">
      <c r="A58" s="93"/>
      <c r="B58" s="50">
        <v>5</v>
      </c>
      <c r="C58" s="50" t="s">
        <v>303</v>
      </c>
      <c r="D58" s="50" t="s">
        <v>229</v>
      </c>
      <c r="E58" s="50" t="s">
        <v>291</v>
      </c>
      <c r="F58" s="90"/>
      <c r="G58" s="55" t="s">
        <v>211</v>
      </c>
      <c r="H58" s="55" t="s">
        <v>283</v>
      </c>
      <c r="I58" s="90"/>
      <c r="J58" s="50" t="s">
        <v>233</v>
      </c>
      <c r="K58" s="50" t="s">
        <v>301</v>
      </c>
      <c r="L58" s="90"/>
      <c r="M58" s="56" t="s">
        <v>244</v>
      </c>
      <c r="N58" s="56" t="s">
        <v>283</v>
      </c>
      <c r="O58" s="90"/>
      <c r="P58" s="50" t="s">
        <v>226</v>
      </c>
      <c r="Q58" s="50" t="s">
        <v>288</v>
      </c>
      <c r="R58" s="90"/>
      <c r="S58" s="57" t="s">
        <v>255</v>
      </c>
      <c r="T58" s="57" t="s">
        <v>295</v>
      </c>
      <c r="U58" s="90"/>
      <c r="V58" s="50" t="s">
        <v>68</v>
      </c>
      <c r="W58" s="50" t="s">
        <v>285</v>
      </c>
      <c r="X58" s="90"/>
      <c r="Y58" s="50" t="s">
        <v>246</v>
      </c>
      <c r="Z58" s="50" t="s">
        <v>315</v>
      </c>
      <c r="AA58" s="90"/>
      <c r="AB58" s="50" t="s">
        <v>104</v>
      </c>
      <c r="AC58" s="50" t="s">
        <v>301</v>
      </c>
      <c r="AD58" s="90"/>
      <c r="AE58" s="58" t="s">
        <v>182</v>
      </c>
      <c r="AF58" s="58" t="s">
        <v>296</v>
      </c>
      <c r="AG58" s="90"/>
      <c r="AH58" s="50" t="s">
        <v>166</v>
      </c>
      <c r="AI58" s="50" t="s">
        <v>301</v>
      </c>
      <c r="AJ58" s="90"/>
    </row>
    <row r="59" spans="1:36" ht="21" customHeight="1">
      <c r="A59" s="93"/>
      <c r="B59" s="50"/>
      <c r="C59" s="51" t="s">
        <v>322</v>
      </c>
      <c r="D59" s="89" t="s">
        <v>304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</row>
    <row r="60" spans="1:36" ht="21" customHeight="1">
      <c r="A60" s="93"/>
      <c r="B60" s="50">
        <v>6</v>
      </c>
      <c r="C60" s="50" t="s">
        <v>323</v>
      </c>
      <c r="D60" s="50" t="s">
        <v>229</v>
      </c>
      <c r="E60" s="50" t="s">
        <v>291</v>
      </c>
      <c r="F60" s="90">
        <v>12</v>
      </c>
      <c r="G60" s="55" t="s">
        <v>218</v>
      </c>
      <c r="H60" s="55" t="s">
        <v>277</v>
      </c>
      <c r="I60" s="91" t="s">
        <v>278</v>
      </c>
      <c r="J60" s="50" t="s">
        <v>233</v>
      </c>
      <c r="K60" s="50" t="s">
        <v>301</v>
      </c>
      <c r="L60" s="91" t="s">
        <v>310</v>
      </c>
      <c r="M60" s="56" t="s">
        <v>159</v>
      </c>
      <c r="N60" s="56" t="s">
        <v>280</v>
      </c>
      <c r="O60" s="90" t="s">
        <v>281</v>
      </c>
      <c r="P60" s="50" t="s">
        <v>226</v>
      </c>
      <c r="Q60" s="50" t="s">
        <v>288</v>
      </c>
      <c r="R60" s="91" t="s">
        <v>311</v>
      </c>
      <c r="S60" s="57" t="s">
        <v>255</v>
      </c>
      <c r="T60" s="57" t="s">
        <v>295</v>
      </c>
      <c r="U60" s="90" t="s">
        <v>284</v>
      </c>
      <c r="V60" s="50" t="s">
        <v>164</v>
      </c>
      <c r="W60" s="50" t="s">
        <v>300</v>
      </c>
      <c r="X60" s="91" t="s">
        <v>287</v>
      </c>
      <c r="Y60" s="50" t="s">
        <v>68</v>
      </c>
      <c r="Z60" s="50" t="s">
        <v>285</v>
      </c>
      <c r="AA60" s="91" t="s">
        <v>289</v>
      </c>
      <c r="AB60" s="50" t="s">
        <v>242</v>
      </c>
      <c r="AC60" s="50" t="s">
        <v>288</v>
      </c>
      <c r="AD60" s="91" t="s">
        <v>313</v>
      </c>
      <c r="AE60" s="58" t="s">
        <v>182</v>
      </c>
      <c r="AF60" s="58" t="s">
        <v>296</v>
      </c>
      <c r="AG60" s="91" t="s">
        <v>290</v>
      </c>
      <c r="AH60" s="50" t="s">
        <v>170</v>
      </c>
      <c r="AI60" s="50" t="s">
        <v>306</v>
      </c>
      <c r="AJ60" s="90">
        <v>11</v>
      </c>
    </row>
    <row r="61" spans="1:36" ht="21" customHeight="1">
      <c r="A61" s="93"/>
      <c r="B61" s="50">
        <v>7</v>
      </c>
      <c r="C61" s="50" t="s">
        <v>324</v>
      </c>
      <c r="D61" s="50" t="s">
        <v>233</v>
      </c>
      <c r="E61" s="50" t="s">
        <v>301</v>
      </c>
      <c r="F61" s="90"/>
      <c r="G61" s="55" t="s">
        <v>218</v>
      </c>
      <c r="H61" s="55" t="s">
        <v>277</v>
      </c>
      <c r="I61" s="90"/>
      <c r="J61" s="50" t="s">
        <v>35</v>
      </c>
      <c r="K61" s="50" t="s">
        <v>291</v>
      </c>
      <c r="L61" s="90"/>
      <c r="M61" s="56" t="s">
        <v>159</v>
      </c>
      <c r="N61" s="56" t="s">
        <v>280</v>
      </c>
      <c r="O61" s="90"/>
      <c r="P61" s="50" t="s">
        <v>246</v>
      </c>
      <c r="Q61" s="50" t="s">
        <v>315</v>
      </c>
      <c r="R61" s="90"/>
      <c r="S61" s="57" t="s">
        <v>211</v>
      </c>
      <c r="T61" s="57" t="s">
        <v>283</v>
      </c>
      <c r="U61" s="90"/>
      <c r="V61" s="50" t="s">
        <v>166</v>
      </c>
      <c r="W61" s="50" t="s">
        <v>301</v>
      </c>
      <c r="X61" s="90"/>
      <c r="Y61" s="50" t="s">
        <v>68</v>
      </c>
      <c r="Z61" s="50" t="s">
        <v>285</v>
      </c>
      <c r="AA61" s="90"/>
      <c r="AB61" s="50" t="s">
        <v>242</v>
      </c>
      <c r="AC61" s="50" t="s">
        <v>288</v>
      </c>
      <c r="AD61" s="90"/>
      <c r="AE61" s="58" t="s">
        <v>182</v>
      </c>
      <c r="AF61" s="58" t="s">
        <v>296</v>
      </c>
      <c r="AG61" s="90"/>
      <c r="AH61" s="50" t="s">
        <v>164</v>
      </c>
      <c r="AI61" s="50" t="s">
        <v>300</v>
      </c>
      <c r="AJ61" s="90"/>
    </row>
    <row r="62" spans="1:36" ht="21.6" customHeight="1">
      <c r="A62" s="93"/>
      <c r="B62" s="50">
        <v>8</v>
      </c>
      <c r="C62" s="50" t="s">
        <v>325</v>
      </c>
      <c r="D62" s="50" t="s">
        <v>233</v>
      </c>
      <c r="E62" s="50" t="s">
        <v>301</v>
      </c>
      <c r="F62" s="90"/>
      <c r="G62" s="55" t="s">
        <v>218</v>
      </c>
      <c r="H62" s="55" t="s">
        <v>277</v>
      </c>
      <c r="I62" s="90"/>
      <c r="J62" s="50" t="s">
        <v>35</v>
      </c>
      <c r="K62" s="50" t="s">
        <v>291</v>
      </c>
      <c r="L62" s="90"/>
      <c r="M62" s="56" t="s">
        <v>159</v>
      </c>
      <c r="N62" s="56" t="s">
        <v>280</v>
      </c>
      <c r="O62" s="90"/>
      <c r="P62" s="50" t="s">
        <v>246</v>
      </c>
      <c r="Q62" s="50" t="s">
        <v>315</v>
      </c>
      <c r="R62" s="90"/>
      <c r="S62" s="57" t="s">
        <v>211</v>
      </c>
      <c r="T62" s="57" t="s">
        <v>283</v>
      </c>
      <c r="U62" s="90"/>
      <c r="V62" s="50" t="s">
        <v>166</v>
      </c>
      <c r="W62" s="50" t="s">
        <v>301</v>
      </c>
      <c r="X62" s="90"/>
      <c r="Y62" s="50" t="s">
        <v>68</v>
      </c>
      <c r="Z62" s="50" t="s">
        <v>285</v>
      </c>
      <c r="AA62" s="90"/>
      <c r="AB62" s="50" t="s">
        <v>242</v>
      </c>
      <c r="AC62" s="50" t="s">
        <v>288</v>
      </c>
      <c r="AD62" s="90"/>
      <c r="AE62" s="58" t="s">
        <v>182</v>
      </c>
      <c r="AF62" s="58" t="s">
        <v>296</v>
      </c>
      <c r="AG62" s="90"/>
      <c r="AH62" s="50" t="s">
        <v>164</v>
      </c>
      <c r="AI62" s="50" t="s">
        <v>300</v>
      </c>
      <c r="AJ62" s="90"/>
    </row>
    <row r="65" spans="3:34">
      <c r="C65" s="32" t="s">
        <v>259</v>
      </c>
      <c r="D65" s="33"/>
      <c r="E65" s="33"/>
      <c r="F65" s="33"/>
      <c r="G65" s="33"/>
      <c r="H65" s="33"/>
      <c r="I65" s="33"/>
      <c r="J65" s="33"/>
      <c r="K65" s="33"/>
      <c r="L65" s="61"/>
      <c r="M65" s="33"/>
      <c r="N65" s="33"/>
      <c r="O65" s="32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2"/>
      <c r="AA65" s="33"/>
      <c r="AB65" s="33"/>
      <c r="AC65" s="33"/>
      <c r="AD65" s="33"/>
      <c r="AE65" s="33"/>
      <c r="AF65" s="33" t="s">
        <v>326</v>
      </c>
      <c r="AG65" s="33"/>
      <c r="AH65" s="33"/>
    </row>
    <row r="66" spans="3:34">
      <c r="C66" s="32" t="s">
        <v>261</v>
      </c>
      <c r="D66" s="32"/>
      <c r="E66" s="33"/>
      <c r="F66" s="33"/>
      <c r="G66" s="61"/>
      <c r="H66" s="33"/>
      <c r="I66" s="33"/>
      <c r="J66" s="33"/>
      <c r="K66" s="33"/>
      <c r="L66" s="61"/>
      <c r="M66" s="33"/>
      <c r="N66" s="33"/>
      <c r="O66" s="32"/>
      <c r="P66" s="33"/>
      <c r="Q66" s="33"/>
      <c r="R66" s="61"/>
      <c r="S66" s="33"/>
      <c r="T66" s="33"/>
      <c r="U66" s="33"/>
      <c r="V66" s="33"/>
      <c r="W66" s="33"/>
      <c r="X66" s="33"/>
      <c r="Y66" s="33"/>
      <c r="Z66" s="32"/>
      <c r="AA66" s="33"/>
      <c r="AB66" s="33"/>
      <c r="AC66" s="61"/>
      <c r="AD66" s="33"/>
      <c r="AE66" s="33"/>
      <c r="AF66" s="33" t="s">
        <v>262</v>
      </c>
      <c r="AG66" s="33"/>
      <c r="AH66" s="33"/>
    </row>
    <row r="67" spans="3:34">
      <c r="C67" s="32"/>
      <c r="D67" s="32"/>
      <c r="E67" s="33"/>
      <c r="F67" s="33"/>
      <c r="G67" s="61"/>
      <c r="H67" s="33"/>
      <c r="I67" s="33"/>
      <c r="J67" s="33"/>
      <c r="K67" s="33"/>
      <c r="L67" s="61"/>
      <c r="M67" s="33"/>
      <c r="N67" s="33"/>
      <c r="O67" s="32"/>
      <c r="P67" s="33"/>
      <c r="Q67" s="33"/>
      <c r="R67" s="61"/>
      <c r="S67" s="33"/>
      <c r="T67" s="33"/>
      <c r="U67" s="33"/>
      <c r="V67" s="33"/>
      <c r="W67" s="33"/>
      <c r="X67" s="33"/>
      <c r="Y67" s="33"/>
      <c r="Z67" s="32"/>
      <c r="AA67" s="33"/>
      <c r="AB67" s="33"/>
      <c r="AC67" s="61"/>
      <c r="AD67" s="33"/>
      <c r="AE67" s="33"/>
      <c r="AF67" s="33"/>
      <c r="AG67" s="33"/>
      <c r="AH67" s="33"/>
    </row>
    <row r="68" spans="3:34">
      <c r="C68" s="32"/>
      <c r="D68" s="32"/>
      <c r="E68" s="33"/>
      <c r="F68" s="33"/>
      <c r="G68" s="61"/>
      <c r="H68" s="33"/>
      <c r="I68" s="33"/>
      <c r="J68" s="33"/>
      <c r="K68" s="33"/>
      <c r="L68" s="61"/>
      <c r="M68" s="33"/>
      <c r="N68" s="33"/>
      <c r="O68" s="32"/>
      <c r="P68" s="33"/>
      <c r="Q68" s="33"/>
      <c r="R68" s="61"/>
      <c r="S68" s="33"/>
      <c r="T68" s="33"/>
      <c r="U68" s="33"/>
      <c r="V68" s="33"/>
      <c r="W68" s="33"/>
      <c r="X68" s="33"/>
      <c r="Y68" s="33"/>
      <c r="Z68" s="32"/>
      <c r="AA68" s="33"/>
      <c r="AB68" s="33"/>
      <c r="AC68" s="61"/>
      <c r="AD68" s="33"/>
      <c r="AE68" s="33"/>
      <c r="AF68" s="33"/>
      <c r="AG68" s="33"/>
      <c r="AH68" s="33"/>
    </row>
    <row r="69" spans="3:34">
      <c r="C69" s="32"/>
      <c r="D69" s="32"/>
      <c r="E69" s="33"/>
      <c r="F69" s="33"/>
      <c r="G69" s="61"/>
      <c r="H69" s="33"/>
      <c r="I69" s="33"/>
      <c r="J69" s="33"/>
      <c r="K69" s="33"/>
      <c r="L69" s="61"/>
      <c r="M69" s="33"/>
      <c r="N69" s="33"/>
      <c r="O69" s="32"/>
      <c r="P69" s="33"/>
      <c r="Q69" s="33"/>
      <c r="R69" s="61"/>
      <c r="S69" s="33"/>
      <c r="T69" s="33"/>
      <c r="U69" s="33"/>
      <c r="V69" s="33"/>
      <c r="W69" s="33"/>
      <c r="X69" s="33"/>
      <c r="Y69" s="33"/>
      <c r="Z69" s="32"/>
      <c r="AA69" s="33"/>
      <c r="AB69" s="33"/>
      <c r="AC69" s="61"/>
      <c r="AD69" s="33"/>
      <c r="AE69" s="33"/>
      <c r="AF69" s="33"/>
      <c r="AG69" s="33"/>
      <c r="AH69" s="33"/>
    </row>
    <row r="70" spans="3:34">
      <c r="C70" s="34" t="s">
        <v>263</v>
      </c>
      <c r="D70" s="32"/>
      <c r="E70" s="33"/>
      <c r="F70" s="33"/>
      <c r="G70" s="61"/>
      <c r="H70" s="35"/>
      <c r="I70" s="33"/>
      <c r="J70" s="33"/>
      <c r="K70" s="33"/>
      <c r="L70" s="61"/>
      <c r="M70" s="33"/>
      <c r="N70" s="33"/>
      <c r="O70" s="32"/>
      <c r="P70" s="33"/>
      <c r="Q70" s="33"/>
      <c r="R70" s="61"/>
      <c r="S70" s="35"/>
      <c r="T70" s="33"/>
      <c r="U70" s="33"/>
      <c r="V70" s="33"/>
      <c r="W70" s="36"/>
      <c r="X70" s="36"/>
      <c r="Y70" s="33"/>
      <c r="Z70" s="32"/>
      <c r="AA70" s="33"/>
      <c r="AB70" s="33"/>
      <c r="AC70" s="61"/>
      <c r="AD70" s="35"/>
      <c r="AE70" s="33"/>
      <c r="AF70" s="36" t="s">
        <v>264</v>
      </c>
      <c r="AG70" s="33"/>
      <c r="AH70" s="36"/>
    </row>
    <row r="71" spans="3:34">
      <c r="C71" s="32" t="s">
        <v>265</v>
      </c>
      <c r="D71" s="37"/>
      <c r="E71" s="33"/>
      <c r="F71" s="33"/>
      <c r="G71" s="61"/>
      <c r="H71" s="33"/>
      <c r="I71" s="33"/>
      <c r="J71" s="33"/>
      <c r="K71" s="33"/>
      <c r="L71" s="61"/>
      <c r="M71" s="33"/>
      <c r="N71" s="33"/>
      <c r="O71" s="32"/>
      <c r="P71" s="33"/>
      <c r="Q71" s="33"/>
      <c r="R71" s="61"/>
      <c r="S71" s="33"/>
      <c r="T71" s="33"/>
      <c r="U71" s="33"/>
      <c r="V71" s="33"/>
      <c r="W71" s="33"/>
      <c r="X71" s="33"/>
      <c r="Y71" s="33"/>
      <c r="Z71" s="32"/>
      <c r="AA71" s="33"/>
      <c r="AB71" s="33"/>
      <c r="AC71" s="61"/>
      <c r="AD71" s="33"/>
      <c r="AE71" s="33"/>
      <c r="AF71" s="33" t="s">
        <v>36</v>
      </c>
      <c r="AG71" s="33"/>
      <c r="AH71" s="33"/>
    </row>
  </sheetData>
  <mergeCells count="193">
    <mergeCell ref="AJ53:AJ55"/>
    <mergeCell ref="AJ57:AJ58"/>
    <mergeCell ref="AJ60:AJ62"/>
    <mergeCell ref="AJ20:AJ22"/>
    <mergeCell ref="AJ24:AJ25"/>
    <mergeCell ref="AJ27:AJ29"/>
    <mergeCell ref="AJ31:AJ33"/>
    <mergeCell ref="AJ35:AJ36"/>
    <mergeCell ref="AJ38:AJ40"/>
    <mergeCell ref="AJ42:AJ43"/>
    <mergeCell ref="AJ46:AJ47"/>
    <mergeCell ref="AJ49:AJ51"/>
    <mergeCell ref="AD60:AD62"/>
    <mergeCell ref="AG9:AG11"/>
    <mergeCell ref="AG13:AG14"/>
    <mergeCell ref="AG16:AG18"/>
    <mergeCell ref="AG20:AG22"/>
    <mergeCell ref="AG24:AG25"/>
    <mergeCell ref="AG27:AG29"/>
    <mergeCell ref="AG31:AG33"/>
    <mergeCell ref="AG35:AG36"/>
    <mergeCell ref="AG38:AG40"/>
    <mergeCell ref="AG42:AG44"/>
    <mergeCell ref="AG46:AG47"/>
    <mergeCell ref="AG49:AG51"/>
    <mergeCell ref="AG53:AG55"/>
    <mergeCell ref="AG57:AG58"/>
    <mergeCell ref="AG60:AG62"/>
    <mergeCell ref="AD20:AD22"/>
    <mergeCell ref="AD24:AD25"/>
    <mergeCell ref="AD27:AD29"/>
    <mergeCell ref="AD31:AD33"/>
    <mergeCell ref="AD35:AD36"/>
    <mergeCell ref="AD38:AD40"/>
    <mergeCell ref="AA9:AA11"/>
    <mergeCell ref="AA13:AA14"/>
    <mergeCell ref="AA16:AA18"/>
    <mergeCell ref="AA20:AA22"/>
    <mergeCell ref="AA24:AA25"/>
    <mergeCell ref="AA27:AA29"/>
    <mergeCell ref="AA31:AA33"/>
    <mergeCell ref="AA35:AA36"/>
    <mergeCell ref="AA38:AA40"/>
    <mergeCell ref="R53:R55"/>
    <mergeCell ref="R57:R58"/>
    <mergeCell ref="R60:R62"/>
    <mergeCell ref="U42:U44"/>
    <mergeCell ref="U46:U47"/>
    <mergeCell ref="U49:U51"/>
    <mergeCell ref="U53:U55"/>
    <mergeCell ref="U57:U58"/>
    <mergeCell ref="U60:U62"/>
    <mergeCell ref="D52:AJ52"/>
    <mergeCell ref="AD42:AD44"/>
    <mergeCell ref="AD46:AD47"/>
    <mergeCell ref="AD49:AD51"/>
    <mergeCell ref="X53:X55"/>
    <mergeCell ref="X57:X58"/>
    <mergeCell ref="X60:X62"/>
    <mergeCell ref="AA42:AA44"/>
    <mergeCell ref="AA46:AA47"/>
    <mergeCell ref="AA49:AA51"/>
    <mergeCell ref="AA53:AA55"/>
    <mergeCell ref="AA57:AA58"/>
    <mergeCell ref="AA60:AA62"/>
    <mergeCell ref="AD53:AD55"/>
    <mergeCell ref="AD57:AD58"/>
    <mergeCell ref="U9:U11"/>
    <mergeCell ref="U13:U14"/>
    <mergeCell ref="U16:U18"/>
    <mergeCell ref="U20:U22"/>
    <mergeCell ref="U24:U25"/>
    <mergeCell ref="U27:U29"/>
    <mergeCell ref="U31:U33"/>
    <mergeCell ref="U35:U36"/>
    <mergeCell ref="U38:U40"/>
    <mergeCell ref="R20:R22"/>
    <mergeCell ref="R24:R25"/>
    <mergeCell ref="R27:R29"/>
    <mergeCell ref="R31:R33"/>
    <mergeCell ref="R35:R36"/>
    <mergeCell ref="R38:R40"/>
    <mergeCell ref="R42:R44"/>
    <mergeCell ref="R46:R47"/>
    <mergeCell ref="R49:R51"/>
    <mergeCell ref="D41:AJ41"/>
    <mergeCell ref="D45:AJ45"/>
    <mergeCell ref="D48:AJ48"/>
    <mergeCell ref="X31:X33"/>
    <mergeCell ref="X35:X36"/>
    <mergeCell ref="X38:X40"/>
    <mergeCell ref="X42:X44"/>
    <mergeCell ref="X46:X47"/>
    <mergeCell ref="X49:X51"/>
    <mergeCell ref="X20:X22"/>
    <mergeCell ref="X24:X25"/>
    <mergeCell ref="X27:X29"/>
    <mergeCell ref="L53:L55"/>
    <mergeCell ref="L57:L58"/>
    <mergeCell ref="L60:L62"/>
    <mergeCell ref="O9:O11"/>
    <mergeCell ref="O13:O14"/>
    <mergeCell ref="O16:O18"/>
    <mergeCell ref="O20:O22"/>
    <mergeCell ref="O24:O25"/>
    <mergeCell ref="O27:O29"/>
    <mergeCell ref="O31:O33"/>
    <mergeCell ref="O35:O36"/>
    <mergeCell ref="O38:O40"/>
    <mergeCell ref="O42:O44"/>
    <mergeCell ref="O46:O47"/>
    <mergeCell ref="O49:O51"/>
    <mergeCell ref="O53:O55"/>
    <mergeCell ref="O57:O58"/>
    <mergeCell ref="O60:O62"/>
    <mergeCell ref="L20:L22"/>
    <mergeCell ref="L24:L25"/>
    <mergeCell ref="L27:L29"/>
    <mergeCell ref="L31:L33"/>
    <mergeCell ref="L35:L36"/>
    <mergeCell ref="L38:L40"/>
    <mergeCell ref="L42:L44"/>
    <mergeCell ref="L46:L47"/>
    <mergeCell ref="L49:L51"/>
    <mergeCell ref="F60:F62"/>
    <mergeCell ref="I9:I11"/>
    <mergeCell ref="I13:I14"/>
    <mergeCell ref="I16:I18"/>
    <mergeCell ref="I20:I22"/>
    <mergeCell ref="I24:I25"/>
    <mergeCell ref="I27:I29"/>
    <mergeCell ref="I31:I33"/>
    <mergeCell ref="I35:I36"/>
    <mergeCell ref="I38:I40"/>
    <mergeCell ref="I42:I44"/>
    <mergeCell ref="I46:I47"/>
    <mergeCell ref="I49:I51"/>
    <mergeCell ref="I53:I55"/>
    <mergeCell ref="I57:I58"/>
    <mergeCell ref="I60:I62"/>
    <mergeCell ref="D56:AJ56"/>
    <mergeCell ref="D59:AJ59"/>
    <mergeCell ref="D30:AJ30"/>
    <mergeCell ref="D34:AJ34"/>
    <mergeCell ref="D37:AJ37"/>
    <mergeCell ref="A6:A7"/>
    <mergeCell ref="A8:A18"/>
    <mergeCell ref="A19:A29"/>
    <mergeCell ref="A30:A40"/>
    <mergeCell ref="A41:A51"/>
    <mergeCell ref="A52:A62"/>
    <mergeCell ref="B6:B7"/>
    <mergeCell ref="C6:C7"/>
    <mergeCell ref="F9:F11"/>
    <mergeCell ref="F13:F14"/>
    <mergeCell ref="F16:F18"/>
    <mergeCell ref="F20:F22"/>
    <mergeCell ref="F24:F25"/>
    <mergeCell ref="F27:F29"/>
    <mergeCell ref="F31:F33"/>
    <mergeCell ref="F35:F36"/>
    <mergeCell ref="F38:F40"/>
    <mergeCell ref="F42:F44"/>
    <mergeCell ref="F46:F47"/>
    <mergeCell ref="F49:F51"/>
    <mergeCell ref="F53:F55"/>
    <mergeCell ref="F57:F58"/>
    <mergeCell ref="D23:AJ23"/>
    <mergeCell ref="D26:AJ26"/>
    <mergeCell ref="A1:AJ1"/>
    <mergeCell ref="A2:AJ2"/>
    <mergeCell ref="A3:AJ3"/>
    <mergeCell ref="A4:AJ4"/>
    <mergeCell ref="D6:AJ6"/>
    <mergeCell ref="D8:AJ8"/>
    <mergeCell ref="D12:AJ12"/>
    <mergeCell ref="D15:AJ15"/>
    <mergeCell ref="D19:AJ19"/>
    <mergeCell ref="L9:L11"/>
    <mergeCell ref="L13:L14"/>
    <mergeCell ref="L16:L18"/>
    <mergeCell ref="R9:R11"/>
    <mergeCell ref="R13:R14"/>
    <mergeCell ref="R16:R18"/>
    <mergeCell ref="X9:X11"/>
    <mergeCell ref="X13:X14"/>
    <mergeCell ref="X16:X18"/>
    <mergeCell ref="AD9:AD11"/>
    <mergeCell ref="AD13:AD14"/>
    <mergeCell ref="AD16:AD18"/>
    <mergeCell ref="AJ9:AJ11"/>
    <mergeCell ref="AJ13:AJ14"/>
    <mergeCell ref="AJ16:AJ18"/>
  </mergeCells>
  <pageMargins left="0.23" right="0.71" top="0.47244094488188981" bottom="0.51181102362204722" header="0.31496062992125984" footer="0.31496062992125984"/>
  <pageSetup paperSize="5" scale="60" fitToWidth="0" fitToHeight="0" orientation="landscape" r:id="rId1"/>
  <rowBreaks count="1" manualBreakCount="1">
    <brk id="40" max="36" man="1"/>
  </rowBreaks>
  <colBreaks count="1" manualBreakCount="1">
    <brk id="40" max="7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71"/>
  <sheetViews>
    <sheetView view="pageBreakPreview" zoomScale="60" zoomScaleNormal="80" workbookViewId="0">
      <pane xSplit="3" ySplit="7" topLeftCell="D12" activePane="bottomRight" state="frozen"/>
      <selection pane="topRight"/>
      <selection pane="bottomLeft"/>
      <selection pane="bottomRight" activeCell="E16" sqref="E16"/>
    </sheetView>
  </sheetViews>
  <sheetFormatPr defaultColWidth="9" defaultRowHeight="15"/>
  <cols>
    <col min="1" max="1" width="8.5703125" style="38" customWidth="1"/>
    <col min="2" max="2" width="4.42578125" style="38" customWidth="1"/>
    <col min="3" max="3" width="13.5703125" style="38" customWidth="1"/>
    <col min="4" max="4" width="4.85546875" style="38" customWidth="1"/>
    <col min="5" max="5" width="9.5703125" style="38" customWidth="1"/>
    <col min="6" max="6" width="5.42578125" style="39" customWidth="1"/>
    <col min="7" max="7" width="4.85546875" style="38" customWidth="1"/>
    <col min="8" max="8" width="9.5703125" style="38" customWidth="1"/>
    <col min="9" max="9" width="5.42578125" style="39" customWidth="1"/>
    <col min="10" max="10" width="4.85546875" style="38" customWidth="1"/>
    <col min="11" max="11" width="9.5703125" style="38" customWidth="1"/>
    <col min="12" max="12" width="5.42578125" style="39" customWidth="1"/>
    <col min="13" max="13" width="4.85546875" style="38" customWidth="1"/>
    <col min="14" max="14" width="9.5703125" style="38" customWidth="1"/>
    <col min="15" max="15" width="5.42578125" style="39" customWidth="1"/>
    <col min="16" max="16" width="4.85546875" style="38" customWidth="1"/>
    <col min="17" max="17" width="9.5703125" style="38" customWidth="1"/>
    <col min="18" max="18" width="5.42578125" style="39" customWidth="1"/>
    <col min="19" max="19" width="4.85546875" style="38" customWidth="1"/>
    <col min="20" max="20" width="9.5703125" style="38" customWidth="1"/>
    <col min="21" max="21" width="5.42578125" style="39" customWidth="1"/>
    <col min="22" max="22" width="4.85546875" style="38" customWidth="1"/>
    <col min="23" max="23" width="9.5703125" style="38" customWidth="1"/>
    <col min="24" max="24" width="5.42578125" style="39" customWidth="1"/>
    <col min="25" max="25" width="4.85546875" style="38" customWidth="1"/>
    <col min="26" max="26" width="9.5703125" style="38" customWidth="1"/>
    <col min="27" max="27" width="5.42578125" style="39" customWidth="1"/>
    <col min="28" max="28" width="4.85546875" style="38" customWidth="1"/>
    <col min="29" max="29" width="9.5703125" style="38" customWidth="1"/>
    <col min="30" max="30" width="5.42578125" style="39" customWidth="1"/>
    <col min="31" max="31" width="4.85546875" style="38" customWidth="1"/>
    <col min="32" max="32" width="9.5703125" style="38" customWidth="1"/>
    <col min="33" max="33" width="5.42578125" style="39" customWidth="1"/>
    <col min="34" max="34" width="4.85546875" style="38" customWidth="1"/>
    <col min="35" max="35" width="9.5703125" style="38" customWidth="1"/>
    <col min="36" max="36" width="5.42578125" style="39" customWidth="1"/>
    <col min="37" max="37" width="8.7109375" customWidth="1"/>
  </cols>
  <sheetData>
    <row r="1" spans="1:38" ht="19.5">
      <c r="A1" s="87" t="s">
        <v>266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40"/>
      <c r="AL1" s="40"/>
    </row>
    <row r="2" spans="1:38" ht="19.5">
      <c r="A2" s="87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40"/>
      <c r="AL2" s="40"/>
    </row>
    <row r="3" spans="1:38" ht="19.5">
      <c r="A3" s="87" t="s">
        <v>2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40"/>
      <c r="AL3" s="40"/>
    </row>
    <row r="4" spans="1:38" ht="19.5">
      <c r="A4" s="87" t="s">
        <v>3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40"/>
      <c r="AL4" s="40"/>
    </row>
    <row r="5" spans="1:38">
      <c r="A5" s="41"/>
    </row>
    <row r="6" spans="1:38" ht="21" customHeight="1">
      <c r="A6" s="92" t="s">
        <v>267</v>
      </c>
      <c r="B6" s="92" t="s">
        <v>268</v>
      </c>
      <c r="C6" s="92" t="s">
        <v>269</v>
      </c>
      <c r="D6" s="88" t="s">
        <v>327</v>
      </c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8" ht="21" customHeight="1">
      <c r="A7" s="92"/>
      <c r="B7" s="92"/>
      <c r="C7" s="92"/>
      <c r="D7" s="42" t="s">
        <v>271</v>
      </c>
      <c r="E7" s="43" t="s">
        <v>16</v>
      </c>
      <c r="F7" s="44" t="s">
        <v>272</v>
      </c>
      <c r="G7" s="42" t="s">
        <v>271</v>
      </c>
      <c r="H7" s="43" t="s">
        <v>17</v>
      </c>
      <c r="I7" s="44" t="s">
        <v>272</v>
      </c>
      <c r="J7" s="42" t="s">
        <v>271</v>
      </c>
      <c r="K7" s="45" t="s">
        <v>18</v>
      </c>
      <c r="L7" s="44" t="s">
        <v>272</v>
      </c>
      <c r="M7" s="42" t="s">
        <v>271</v>
      </c>
      <c r="N7" s="45" t="s">
        <v>19</v>
      </c>
      <c r="O7" s="44" t="s">
        <v>272</v>
      </c>
      <c r="P7" s="42" t="s">
        <v>271</v>
      </c>
      <c r="Q7" s="46" t="s">
        <v>20</v>
      </c>
      <c r="R7" s="44" t="s">
        <v>272</v>
      </c>
      <c r="S7" s="42" t="s">
        <v>271</v>
      </c>
      <c r="T7" s="46" t="s">
        <v>21</v>
      </c>
      <c r="U7" s="44" t="s">
        <v>272</v>
      </c>
      <c r="V7" s="42" t="s">
        <v>271</v>
      </c>
      <c r="W7" s="47" t="s">
        <v>24</v>
      </c>
      <c r="X7" s="44" t="s">
        <v>272</v>
      </c>
      <c r="Y7" s="42" t="s">
        <v>271</v>
      </c>
      <c r="Z7" s="47" t="s">
        <v>25</v>
      </c>
      <c r="AA7" s="44" t="s">
        <v>272</v>
      </c>
      <c r="AB7" s="42" t="s">
        <v>271</v>
      </c>
      <c r="AC7" s="48" t="s">
        <v>22</v>
      </c>
      <c r="AD7" s="44" t="s">
        <v>272</v>
      </c>
      <c r="AE7" s="42" t="s">
        <v>271</v>
      </c>
      <c r="AF7" s="48" t="s">
        <v>23</v>
      </c>
      <c r="AG7" s="44" t="s">
        <v>272</v>
      </c>
      <c r="AH7" s="42" t="s">
        <v>271</v>
      </c>
      <c r="AI7" s="49" t="s">
        <v>26</v>
      </c>
      <c r="AJ7" s="44" t="s">
        <v>272</v>
      </c>
    </row>
    <row r="8" spans="1:38" ht="21" customHeight="1">
      <c r="A8" s="142" t="s">
        <v>273</v>
      </c>
      <c r="B8" s="50"/>
      <c r="C8" s="51" t="s">
        <v>274</v>
      </c>
      <c r="D8" s="89" t="s">
        <v>275</v>
      </c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</row>
    <row r="9" spans="1:38" ht="21" customHeight="1">
      <c r="A9" s="143"/>
      <c r="B9" s="50">
        <v>1</v>
      </c>
      <c r="C9" s="50" t="s">
        <v>276</v>
      </c>
      <c r="D9" s="50" t="s">
        <v>213</v>
      </c>
      <c r="E9" s="50" t="s">
        <v>328</v>
      </c>
      <c r="F9" s="90">
        <v>12</v>
      </c>
      <c r="G9" s="50" t="s">
        <v>195</v>
      </c>
      <c r="H9" s="50" t="s">
        <v>307</v>
      </c>
      <c r="I9" s="90">
        <v>14</v>
      </c>
      <c r="J9" s="50" t="s">
        <v>239</v>
      </c>
      <c r="K9" s="50" t="s">
        <v>291</v>
      </c>
      <c r="L9" s="91" t="s">
        <v>310</v>
      </c>
      <c r="M9" s="50" t="s">
        <v>166</v>
      </c>
      <c r="N9" s="50" t="s">
        <v>301</v>
      </c>
      <c r="O9" s="90">
        <v>16</v>
      </c>
      <c r="P9" s="50" t="s">
        <v>205</v>
      </c>
      <c r="Q9" s="50" t="s">
        <v>328</v>
      </c>
      <c r="R9" s="91" t="s">
        <v>311</v>
      </c>
      <c r="S9" s="50" t="s">
        <v>223</v>
      </c>
      <c r="T9" s="50" t="s">
        <v>288</v>
      </c>
      <c r="U9" s="90">
        <v>10</v>
      </c>
      <c r="V9" s="53" t="s">
        <v>123</v>
      </c>
      <c r="W9" s="53" t="s">
        <v>329</v>
      </c>
      <c r="X9" s="91" t="s">
        <v>312</v>
      </c>
      <c r="Y9" s="50" t="s">
        <v>82</v>
      </c>
      <c r="Z9" s="50" t="s">
        <v>291</v>
      </c>
      <c r="AA9" s="91" t="s">
        <v>330</v>
      </c>
      <c r="AB9" s="50" t="s">
        <v>231</v>
      </c>
      <c r="AC9" s="50" t="s">
        <v>286</v>
      </c>
      <c r="AD9" s="91" t="s">
        <v>313</v>
      </c>
      <c r="AE9" s="50" t="s">
        <v>236</v>
      </c>
      <c r="AF9" s="50" t="s">
        <v>331</v>
      </c>
      <c r="AG9" s="91" t="s">
        <v>332</v>
      </c>
      <c r="AH9" s="54" t="s">
        <v>144</v>
      </c>
      <c r="AI9" s="54" t="s">
        <v>333</v>
      </c>
      <c r="AJ9" s="90" t="s">
        <v>319</v>
      </c>
    </row>
    <row r="10" spans="1:38" ht="21" customHeight="1">
      <c r="A10" s="143"/>
      <c r="B10" s="50">
        <v>2</v>
      </c>
      <c r="C10" s="50" t="s">
        <v>293</v>
      </c>
      <c r="D10" s="50" t="s">
        <v>213</v>
      </c>
      <c r="E10" s="50" t="s">
        <v>328</v>
      </c>
      <c r="F10" s="90"/>
      <c r="G10" s="50" t="s">
        <v>195</v>
      </c>
      <c r="H10" s="50" t="s">
        <v>307</v>
      </c>
      <c r="I10" s="90"/>
      <c r="J10" s="50" t="s">
        <v>239</v>
      </c>
      <c r="K10" s="50" t="s">
        <v>291</v>
      </c>
      <c r="L10" s="90"/>
      <c r="M10" s="50" t="s">
        <v>166</v>
      </c>
      <c r="N10" s="50" t="s">
        <v>301</v>
      </c>
      <c r="O10" s="90"/>
      <c r="P10" s="50" t="s">
        <v>205</v>
      </c>
      <c r="Q10" s="50" t="s">
        <v>328</v>
      </c>
      <c r="R10" s="90"/>
      <c r="S10" s="50" t="s">
        <v>223</v>
      </c>
      <c r="T10" s="50" t="s">
        <v>288</v>
      </c>
      <c r="U10" s="90"/>
      <c r="V10" s="53" t="s">
        <v>123</v>
      </c>
      <c r="W10" s="53" t="s">
        <v>329</v>
      </c>
      <c r="X10" s="90"/>
      <c r="Y10" s="50" t="s">
        <v>82</v>
      </c>
      <c r="Z10" s="50" t="s">
        <v>291</v>
      </c>
      <c r="AA10" s="90"/>
      <c r="AB10" s="50" t="s">
        <v>231</v>
      </c>
      <c r="AC10" s="50" t="s">
        <v>286</v>
      </c>
      <c r="AD10" s="90"/>
      <c r="AE10" s="50" t="s">
        <v>236</v>
      </c>
      <c r="AF10" s="50" t="s">
        <v>331</v>
      </c>
      <c r="AG10" s="90"/>
      <c r="AH10" s="54" t="s">
        <v>144</v>
      </c>
      <c r="AI10" s="54" t="s">
        <v>333</v>
      </c>
      <c r="AJ10" s="90"/>
    </row>
    <row r="11" spans="1:38" ht="21" customHeight="1">
      <c r="A11" s="143"/>
      <c r="B11" s="50">
        <v>3</v>
      </c>
      <c r="C11" s="50" t="s">
        <v>294</v>
      </c>
      <c r="D11" s="50" t="s">
        <v>109</v>
      </c>
      <c r="E11" s="50" t="s">
        <v>331</v>
      </c>
      <c r="F11" s="90"/>
      <c r="G11" s="50" t="s">
        <v>213</v>
      </c>
      <c r="H11" s="50" t="s">
        <v>328</v>
      </c>
      <c r="I11" s="90"/>
      <c r="J11" s="50" t="s">
        <v>239</v>
      </c>
      <c r="K11" s="50" t="s">
        <v>291</v>
      </c>
      <c r="L11" s="90"/>
      <c r="M11" s="50" t="s">
        <v>166</v>
      </c>
      <c r="N11" s="50" t="s">
        <v>301</v>
      </c>
      <c r="O11" s="90"/>
      <c r="P11" s="50" t="s">
        <v>205</v>
      </c>
      <c r="Q11" s="50" t="s">
        <v>328</v>
      </c>
      <c r="R11" s="90"/>
      <c r="S11" s="50" t="s">
        <v>223</v>
      </c>
      <c r="T11" s="50" t="s">
        <v>288</v>
      </c>
      <c r="U11" s="90"/>
      <c r="V11" s="53" t="s">
        <v>123</v>
      </c>
      <c r="W11" s="53" t="s">
        <v>329</v>
      </c>
      <c r="X11" s="90"/>
      <c r="Y11" s="50" t="s">
        <v>113</v>
      </c>
      <c r="Z11" s="50" t="s">
        <v>286</v>
      </c>
      <c r="AA11" s="90"/>
      <c r="AB11" s="50" t="s">
        <v>231</v>
      </c>
      <c r="AC11" s="50" t="s">
        <v>286</v>
      </c>
      <c r="AD11" s="90"/>
      <c r="AE11" s="50" t="s">
        <v>236</v>
      </c>
      <c r="AF11" s="50" t="s">
        <v>331</v>
      </c>
      <c r="AG11" s="90"/>
      <c r="AH11" s="54" t="s">
        <v>144</v>
      </c>
      <c r="AI11" s="54" t="s">
        <v>333</v>
      </c>
      <c r="AJ11" s="90"/>
    </row>
    <row r="12" spans="1:38" ht="21" customHeight="1">
      <c r="A12" s="143"/>
      <c r="B12" s="50"/>
      <c r="C12" s="51" t="s">
        <v>297</v>
      </c>
      <c r="D12" s="89" t="s">
        <v>298</v>
      </c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</row>
    <row r="13" spans="1:38" ht="21" customHeight="1">
      <c r="A13" s="143"/>
      <c r="B13" s="50">
        <v>4</v>
      </c>
      <c r="C13" s="50" t="s">
        <v>299</v>
      </c>
      <c r="D13" s="50" t="s">
        <v>130</v>
      </c>
      <c r="E13" s="50" t="s">
        <v>279</v>
      </c>
      <c r="F13" s="90">
        <v>12</v>
      </c>
      <c r="G13" s="50" t="s">
        <v>100</v>
      </c>
      <c r="H13" s="50" t="s">
        <v>301</v>
      </c>
      <c r="I13" s="90">
        <v>14</v>
      </c>
      <c r="J13" s="50" t="s">
        <v>152</v>
      </c>
      <c r="K13" s="50" t="s">
        <v>331</v>
      </c>
      <c r="L13" s="91" t="s">
        <v>310</v>
      </c>
      <c r="M13" s="50" t="s">
        <v>195</v>
      </c>
      <c r="N13" s="50" t="s">
        <v>307</v>
      </c>
      <c r="O13" s="90">
        <v>16</v>
      </c>
      <c r="P13" s="50" t="s">
        <v>82</v>
      </c>
      <c r="Q13" s="50" t="s">
        <v>291</v>
      </c>
      <c r="R13" s="91" t="s">
        <v>311</v>
      </c>
      <c r="S13" s="50" t="s">
        <v>205</v>
      </c>
      <c r="T13" s="50" t="s">
        <v>328</v>
      </c>
      <c r="U13" s="90">
        <v>10</v>
      </c>
      <c r="V13" s="53" t="s">
        <v>123</v>
      </c>
      <c r="W13" s="53" t="s">
        <v>329</v>
      </c>
      <c r="X13" s="91" t="s">
        <v>312</v>
      </c>
      <c r="Y13" s="50" t="s">
        <v>113</v>
      </c>
      <c r="Z13" s="50" t="s">
        <v>286</v>
      </c>
      <c r="AA13" s="91" t="s">
        <v>330</v>
      </c>
      <c r="AB13" s="50" t="s">
        <v>213</v>
      </c>
      <c r="AC13" s="50" t="s">
        <v>328</v>
      </c>
      <c r="AD13" s="91" t="s">
        <v>313</v>
      </c>
      <c r="AE13" s="50" t="s">
        <v>170</v>
      </c>
      <c r="AF13" s="50" t="s">
        <v>306</v>
      </c>
      <c r="AG13" s="91" t="s">
        <v>332</v>
      </c>
      <c r="AH13" s="54" t="s">
        <v>144</v>
      </c>
      <c r="AI13" s="54" t="s">
        <v>333</v>
      </c>
      <c r="AJ13" s="90" t="s">
        <v>319</v>
      </c>
    </row>
    <row r="14" spans="1:38" ht="21" customHeight="1">
      <c r="A14" s="143"/>
      <c r="B14" s="50">
        <v>5</v>
      </c>
      <c r="C14" s="50" t="s">
        <v>303</v>
      </c>
      <c r="D14" s="50" t="s">
        <v>130</v>
      </c>
      <c r="E14" s="50" t="s">
        <v>279</v>
      </c>
      <c r="F14" s="90"/>
      <c r="G14" s="50" t="s">
        <v>100</v>
      </c>
      <c r="H14" s="50" t="s">
        <v>301</v>
      </c>
      <c r="I14" s="90"/>
      <c r="J14" s="50" t="s">
        <v>152</v>
      </c>
      <c r="K14" s="50" t="s">
        <v>331</v>
      </c>
      <c r="L14" s="90"/>
      <c r="M14" s="50" t="s">
        <v>195</v>
      </c>
      <c r="N14" s="50" t="s">
        <v>307</v>
      </c>
      <c r="O14" s="90"/>
      <c r="P14" s="50" t="s">
        <v>82</v>
      </c>
      <c r="Q14" s="50" t="s">
        <v>291</v>
      </c>
      <c r="R14" s="90"/>
      <c r="S14" s="50" t="s">
        <v>205</v>
      </c>
      <c r="T14" s="50" t="s">
        <v>328</v>
      </c>
      <c r="U14" s="90"/>
      <c r="V14" s="53" t="s">
        <v>123</v>
      </c>
      <c r="W14" s="53" t="s">
        <v>329</v>
      </c>
      <c r="X14" s="90"/>
      <c r="Y14" s="50" t="s">
        <v>113</v>
      </c>
      <c r="Z14" s="50" t="s">
        <v>286</v>
      </c>
      <c r="AA14" s="90"/>
      <c r="AB14" s="50" t="s">
        <v>213</v>
      </c>
      <c r="AC14" s="50" t="s">
        <v>328</v>
      </c>
      <c r="AD14" s="90"/>
      <c r="AE14" s="50" t="s">
        <v>170</v>
      </c>
      <c r="AF14" s="50" t="s">
        <v>306</v>
      </c>
      <c r="AG14" s="90"/>
      <c r="AH14" s="54" t="s">
        <v>144</v>
      </c>
      <c r="AI14" s="54" t="s">
        <v>333</v>
      </c>
      <c r="AJ14" s="90"/>
    </row>
    <row r="15" spans="1:38" ht="21" customHeight="1">
      <c r="A15" s="143"/>
      <c r="B15" s="50"/>
      <c r="C15" s="51" t="s">
        <v>431</v>
      </c>
      <c r="D15" s="89" t="s">
        <v>304</v>
      </c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</row>
    <row r="16" spans="1:38" ht="21" customHeight="1">
      <c r="A16" s="143"/>
      <c r="B16" s="50">
        <v>6</v>
      </c>
      <c r="C16" s="50" t="s">
        <v>432</v>
      </c>
      <c r="D16" s="50" t="s">
        <v>231</v>
      </c>
      <c r="E16" s="50" t="s">
        <v>286</v>
      </c>
      <c r="F16" s="90">
        <v>12</v>
      </c>
      <c r="G16" s="50" t="s">
        <v>100</v>
      </c>
      <c r="H16" s="50" t="s">
        <v>301</v>
      </c>
      <c r="I16" s="90">
        <v>14</v>
      </c>
      <c r="J16" s="50" t="s">
        <v>166</v>
      </c>
      <c r="K16" s="50" t="s">
        <v>301</v>
      </c>
      <c r="L16" s="91" t="s">
        <v>310</v>
      </c>
      <c r="M16" s="50" t="s">
        <v>248</v>
      </c>
      <c r="N16" s="50" t="s">
        <v>288</v>
      </c>
      <c r="O16" s="90">
        <v>16</v>
      </c>
      <c r="P16" s="50" t="s">
        <v>49</v>
      </c>
      <c r="Q16" s="50" t="s">
        <v>286</v>
      </c>
      <c r="R16" s="91" t="s">
        <v>311</v>
      </c>
      <c r="S16" s="50" t="s">
        <v>82</v>
      </c>
      <c r="T16" s="50" t="s">
        <v>291</v>
      </c>
      <c r="U16" s="90">
        <v>10</v>
      </c>
      <c r="V16" s="53" t="s">
        <v>123</v>
      </c>
      <c r="W16" s="53" t="s">
        <v>329</v>
      </c>
      <c r="X16" s="91" t="s">
        <v>312</v>
      </c>
      <c r="Y16" s="50" t="s">
        <v>205</v>
      </c>
      <c r="Z16" s="50" t="s">
        <v>328</v>
      </c>
      <c r="AA16" s="91" t="s">
        <v>330</v>
      </c>
      <c r="AB16" s="50" t="s">
        <v>63</v>
      </c>
      <c r="AC16" s="50" t="s">
        <v>288</v>
      </c>
      <c r="AD16" s="91" t="s">
        <v>313</v>
      </c>
      <c r="AE16" s="50" t="s">
        <v>213</v>
      </c>
      <c r="AF16" s="50" t="s">
        <v>328</v>
      </c>
      <c r="AG16" s="91" t="s">
        <v>332</v>
      </c>
      <c r="AH16" s="54" t="s">
        <v>144</v>
      </c>
      <c r="AI16" s="54" t="s">
        <v>333</v>
      </c>
      <c r="AJ16" s="90" t="s">
        <v>319</v>
      </c>
    </row>
    <row r="17" spans="1:36" ht="21" customHeight="1">
      <c r="A17" s="143"/>
      <c r="B17" s="50">
        <v>7</v>
      </c>
      <c r="C17" s="50" t="s">
        <v>433</v>
      </c>
      <c r="D17" s="50" t="s">
        <v>231</v>
      </c>
      <c r="E17" s="50" t="s">
        <v>286</v>
      </c>
      <c r="F17" s="90"/>
      <c r="G17" s="50" t="s">
        <v>127</v>
      </c>
      <c r="H17" s="50" t="s">
        <v>291</v>
      </c>
      <c r="I17" s="90"/>
      <c r="J17" s="50" t="s">
        <v>166</v>
      </c>
      <c r="K17" s="50" t="s">
        <v>301</v>
      </c>
      <c r="L17" s="90"/>
      <c r="M17" s="50" t="s">
        <v>248</v>
      </c>
      <c r="N17" s="50" t="s">
        <v>288</v>
      </c>
      <c r="O17" s="90"/>
      <c r="P17" s="50" t="s">
        <v>49</v>
      </c>
      <c r="Q17" s="50" t="s">
        <v>286</v>
      </c>
      <c r="R17" s="90"/>
      <c r="S17" s="50" t="s">
        <v>82</v>
      </c>
      <c r="T17" s="50" t="s">
        <v>291</v>
      </c>
      <c r="U17" s="90"/>
      <c r="V17" s="53" t="s">
        <v>123</v>
      </c>
      <c r="W17" s="53" t="s">
        <v>329</v>
      </c>
      <c r="X17" s="90"/>
      <c r="Y17" s="50" t="s">
        <v>205</v>
      </c>
      <c r="Z17" s="50" t="s">
        <v>328</v>
      </c>
      <c r="AA17" s="90"/>
      <c r="AB17" s="50" t="s">
        <v>63</v>
      </c>
      <c r="AC17" s="50" t="s">
        <v>288</v>
      </c>
      <c r="AD17" s="90"/>
      <c r="AE17" s="50" t="s">
        <v>213</v>
      </c>
      <c r="AF17" s="50" t="s">
        <v>328</v>
      </c>
      <c r="AG17" s="90"/>
      <c r="AH17" s="54" t="s">
        <v>144</v>
      </c>
      <c r="AI17" s="54" t="s">
        <v>333</v>
      </c>
      <c r="AJ17" s="90"/>
    </row>
    <row r="18" spans="1:36" ht="21" customHeight="1">
      <c r="A18" s="144"/>
      <c r="B18" s="50">
        <v>8</v>
      </c>
      <c r="C18" s="50" t="s">
        <v>434</v>
      </c>
      <c r="D18" s="50" t="s">
        <v>231</v>
      </c>
      <c r="E18" s="50" t="s">
        <v>286</v>
      </c>
      <c r="F18" s="90"/>
      <c r="G18" s="50" t="s">
        <v>127</v>
      </c>
      <c r="H18" s="50" t="s">
        <v>291</v>
      </c>
      <c r="I18" s="90"/>
      <c r="J18" s="50" t="s">
        <v>166</v>
      </c>
      <c r="K18" s="50" t="s">
        <v>301</v>
      </c>
      <c r="L18" s="90"/>
      <c r="M18" s="50" t="s">
        <v>248</v>
      </c>
      <c r="N18" s="50" t="s">
        <v>288</v>
      </c>
      <c r="O18" s="90"/>
      <c r="P18" s="50" t="s">
        <v>49</v>
      </c>
      <c r="Q18" s="50" t="s">
        <v>286</v>
      </c>
      <c r="R18" s="90"/>
      <c r="S18" s="50" t="s">
        <v>82</v>
      </c>
      <c r="T18" s="50" t="s">
        <v>291</v>
      </c>
      <c r="U18" s="90"/>
      <c r="V18" s="53" t="s">
        <v>123</v>
      </c>
      <c r="W18" s="53" t="s">
        <v>329</v>
      </c>
      <c r="X18" s="90"/>
      <c r="Y18" s="50" t="s">
        <v>205</v>
      </c>
      <c r="Z18" s="50" t="s">
        <v>328</v>
      </c>
      <c r="AA18" s="90"/>
      <c r="AB18" s="50" t="s">
        <v>63</v>
      </c>
      <c r="AC18" s="50" t="s">
        <v>288</v>
      </c>
      <c r="AD18" s="90"/>
      <c r="AE18" s="50" t="s">
        <v>213</v>
      </c>
      <c r="AF18" s="50" t="s">
        <v>328</v>
      </c>
      <c r="AG18" s="90"/>
      <c r="AH18" s="54" t="s">
        <v>144</v>
      </c>
      <c r="AI18" s="54" t="s">
        <v>333</v>
      </c>
      <c r="AJ18" s="90"/>
    </row>
    <row r="19" spans="1:36" ht="21" customHeight="1">
      <c r="A19" s="93" t="s">
        <v>308</v>
      </c>
      <c r="B19" s="50"/>
      <c r="C19" s="51" t="s">
        <v>274</v>
      </c>
      <c r="D19" s="89" t="s">
        <v>309</v>
      </c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</row>
    <row r="20" spans="1:36" ht="21" customHeight="1">
      <c r="A20" s="93"/>
      <c r="B20" s="50">
        <v>1</v>
      </c>
      <c r="C20" s="50" t="s">
        <v>276</v>
      </c>
      <c r="D20" s="55" t="s">
        <v>216</v>
      </c>
      <c r="E20" s="55" t="s">
        <v>334</v>
      </c>
      <c r="F20" s="90" t="s">
        <v>278</v>
      </c>
      <c r="G20" s="50" t="s">
        <v>63</v>
      </c>
      <c r="H20" s="50" t="s">
        <v>288</v>
      </c>
      <c r="I20" s="90">
        <v>14</v>
      </c>
      <c r="J20" s="56" t="s">
        <v>79</v>
      </c>
      <c r="K20" s="56" t="s">
        <v>335</v>
      </c>
      <c r="L20" s="91" t="s">
        <v>281</v>
      </c>
      <c r="M20" s="50" t="s">
        <v>170</v>
      </c>
      <c r="N20" s="50" t="s">
        <v>306</v>
      </c>
      <c r="O20" s="90">
        <v>16</v>
      </c>
      <c r="P20" s="57" t="s">
        <v>193</v>
      </c>
      <c r="Q20" s="57" t="s">
        <v>336</v>
      </c>
      <c r="R20" s="91" t="s">
        <v>284</v>
      </c>
      <c r="S20" s="50" t="s">
        <v>175</v>
      </c>
      <c r="T20" s="50" t="s">
        <v>331</v>
      </c>
      <c r="U20" s="90">
        <v>10</v>
      </c>
      <c r="V20" s="50" t="s">
        <v>248</v>
      </c>
      <c r="W20" s="50" t="s">
        <v>288</v>
      </c>
      <c r="X20" s="91" t="s">
        <v>289</v>
      </c>
      <c r="Y20" s="50" t="s">
        <v>250</v>
      </c>
      <c r="Z20" s="50" t="s">
        <v>331</v>
      </c>
      <c r="AA20" s="91" t="s">
        <v>330</v>
      </c>
      <c r="AB20" s="58" t="s">
        <v>72</v>
      </c>
      <c r="AC20" s="58" t="s">
        <v>337</v>
      </c>
      <c r="AD20" s="91" t="s">
        <v>290</v>
      </c>
      <c r="AE20" s="50" t="s">
        <v>213</v>
      </c>
      <c r="AF20" s="50" t="s">
        <v>328</v>
      </c>
      <c r="AG20" s="91" t="s">
        <v>332</v>
      </c>
      <c r="AH20" s="54" t="s">
        <v>144</v>
      </c>
      <c r="AI20" s="54" t="s">
        <v>333</v>
      </c>
      <c r="AJ20" s="90" t="s">
        <v>319</v>
      </c>
    </row>
    <row r="21" spans="1:36" ht="21" customHeight="1">
      <c r="A21" s="93"/>
      <c r="B21" s="50">
        <v>2</v>
      </c>
      <c r="C21" s="50" t="s">
        <v>293</v>
      </c>
      <c r="D21" s="55" t="s">
        <v>216</v>
      </c>
      <c r="E21" s="55" t="s">
        <v>334</v>
      </c>
      <c r="F21" s="90"/>
      <c r="G21" s="50" t="s">
        <v>63</v>
      </c>
      <c r="H21" s="50" t="s">
        <v>288</v>
      </c>
      <c r="I21" s="90"/>
      <c r="J21" s="56" t="s">
        <v>79</v>
      </c>
      <c r="K21" s="56" t="s">
        <v>335</v>
      </c>
      <c r="L21" s="90"/>
      <c r="M21" s="50" t="s">
        <v>170</v>
      </c>
      <c r="N21" s="50" t="s">
        <v>306</v>
      </c>
      <c r="O21" s="90"/>
      <c r="P21" s="57" t="s">
        <v>193</v>
      </c>
      <c r="Q21" s="57" t="s">
        <v>336</v>
      </c>
      <c r="R21" s="90"/>
      <c r="S21" s="50" t="s">
        <v>175</v>
      </c>
      <c r="T21" s="50" t="s">
        <v>331</v>
      </c>
      <c r="U21" s="90"/>
      <c r="V21" s="50" t="s">
        <v>248</v>
      </c>
      <c r="W21" s="50" t="s">
        <v>288</v>
      </c>
      <c r="X21" s="90"/>
      <c r="Y21" s="50" t="s">
        <v>250</v>
      </c>
      <c r="Z21" s="50" t="s">
        <v>331</v>
      </c>
      <c r="AA21" s="90"/>
      <c r="AB21" s="58" t="s">
        <v>72</v>
      </c>
      <c r="AC21" s="58" t="s">
        <v>337</v>
      </c>
      <c r="AD21" s="90"/>
      <c r="AE21" s="50" t="s">
        <v>231</v>
      </c>
      <c r="AF21" s="50" t="s">
        <v>286</v>
      </c>
      <c r="AG21" s="90"/>
      <c r="AH21" s="54" t="s">
        <v>144</v>
      </c>
      <c r="AI21" s="54" t="s">
        <v>333</v>
      </c>
      <c r="AJ21" s="90"/>
    </row>
    <row r="22" spans="1:36" ht="21" customHeight="1">
      <c r="A22" s="93"/>
      <c r="B22" s="50">
        <v>3</v>
      </c>
      <c r="C22" s="50" t="s">
        <v>294</v>
      </c>
      <c r="D22" s="55" t="s">
        <v>216</v>
      </c>
      <c r="E22" s="55" t="s">
        <v>334</v>
      </c>
      <c r="F22" s="90"/>
      <c r="G22" s="50" t="s">
        <v>63</v>
      </c>
      <c r="H22" s="50" t="s">
        <v>288</v>
      </c>
      <c r="I22" s="90"/>
      <c r="J22" s="56" t="s">
        <v>79</v>
      </c>
      <c r="K22" s="56" t="s">
        <v>335</v>
      </c>
      <c r="L22" s="90"/>
      <c r="M22" s="50" t="s">
        <v>239</v>
      </c>
      <c r="N22" s="50" t="s">
        <v>291</v>
      </c>
      <c r="O22" s="90"/>
      <c r="P22" s="57" t="s">
        <v>193</v>
      </c>
      <c r="Q22" s="57" t="s">
        <v>336</v>
      </c>
      <c r="R22" s="90"/>
      <c r="S22" s="50" t="s">
        <v>175</v>
      </c>
      <c r="T22" s="50" t="s">
        <v>331</v>
      </c>
      <c r="U22" s="90"/>
      <c r="V22" s="50" t="s">
        <v>248</v>
      </c>
      <c r="W22" s="50" t="s">
        <v>288</v>
      </c>
      <c r="X22" s="90"/>
      <c r="Y22" s="50" t="s">
        <v>250</v>
      </c>
      <c r="Z22" s="50" t="s">
        <v>331</v>
      </c>
      <c r="AA22" s="90"/>
      <c r="AB22" s="58" t="s">
        <v>72</v>
      </c>
      <c r="AC22" s="58" t="s">
        <v>337</v>
      </c>
      <c r="AD22" s="90"/>
      <c r="AE22" s="50" t="s">
        <v>231</v>
      </c>
      <c r="AF22" s="50" t="s">
        <v>286</v>
      </c>
      <c r="AG22" s="90"/>
      <c r="AH22" s="54" t="s">
        <v>144</v>
      </c>
      <c r="AI22" s="54" t="s">
        <v>333</v>
      </c>
      <c r="AJ22" s="90"/>
    </row>
    <row r="23" spans="1:36" ht="21" customHeight="1">
      <c r="A23" s="93"/>
      <c r="B23" s="50"/>
      <c r="C23" s="51" t="s">
        <v>297</v>
      </c>
      <c r="D23" s="89" t="s">
        <v>298</v>
      </c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</row>
    <row r="24" spans="1:36" ht="21" customHeight="1">
      <c r="A24" s="93"/>
      <c r="B24" s="50">
        <v>4</v>
      </c>
      <c r="C24" s="50" t="s">
        <v>299</v>
      </c>
      <c r="D24" s="55" t="s">
        <v>45</v>
      </c>
      <c r="E24" s="55" t="s">
        <v>334</v>
      </c>
      <c r="F24" s="90" t="s">
        <v>278</v>
      </c>
      <c r="G24" s="50" t="s">
        <v>130</v>
      </c>
      <c r="H24" s="50" t="s">
        <v>279</v>
      </c>
      <c r="I24" s="90">
        <v>14</v>
      </c>
      <c r="J24" s="56" t="s">
        <v>79</v>
      </c>
      <c r="K24" s="56" t="s">
        <v>335</v>
      </c>
      <c r="L24" s="91" t="s">
        <v>281</v>
      </c>
      <c r="M24" s="50" t="s">
        <v>213</v>
      </c>
      <c r="N24" s="50" t="s">
        <v>328</v>
      </c>
      <c r="O24" s="90">
        <v>16</v>
      </c>
      <c r="P24" s="57" t="s">
        <v>193</v>
      </c>
      <c r="Q24" s="57" t="s">
        <v>336</v>
      </c>
      <c r="R24" s="91" t="s">
        <v>284</v>
      </c>
      <c r="S24" s="50" t="s">
        <v>205</v>
      </c>
      <c r="T24" s="50" t="s">
        <v>328</v>
      </c>
      <c r="U24" s="90">
        <v>10</v>
      </c>
      <c r="V24" s="50" t="s">
        <v>170</v>
      </c>
      <c r="W24" s="50" t="s">
        <v>306</v>
      </c>
      <c r="X24" s="91" t="s">
        <v>289</v>
      </c>
      <c r="Y24" s="50" t="s">
        <v>166</v>
      </c>
      <c r="Z24" s="50" t="s">
        <v>301</v>
      </c>
      <c r="AA24" s="91" t="s">
        <v>330</v>
      </c>
      <c r="AB24" s="58" t="s">
        <v>72</v>
      </c>
      <c r="AC24" s="58" t="s">
        <v>337</v>
      </c>
      <c r="AD24" s="85" t="s">
        <v>290</v>
      </c>
      <c r="AE24" s="50" t="s">
        <v>231</v>
      </c>
      <c r="AF24" s="50" t="s">
        <v>286</v>
      </c>
      <c r="AG24" s="86" t="s">
        <v>332</v>
      </c>
      <c r="AH24" s="54" t="s">
        <v>144</v>
      </c>
      <c r="AI24" s="54" t="s">
        <v>333</v>
      </c>
      <c r="AJ24" s="85" t="s">
        <v>319</v>
      </c>
    </row>
    <row r="25" spans="1:36" ht="21" customHeight="1">
      <c r="A25" s="93"/>
      <c r="B25" s="50">
        <v>5</v>
      </c>
      <c r="C25" s="50" t="s">
        <v>303</v>
      </c>
      <c r="D25" s="55" t="s">
        <v>45</v>
      </c>
      <c r="E25" s="55" t="s">
        <v>334</v>
      </c>
      <c r="F25" s="90"/>
      <c r="G25" s="50" t="s">
        <v>130</v>
      </c>
      <c r="H25" s="50" t="s">
        <v>279</v>
      </c>
      <c r="I25" s="90"/>
      <c r="J25" s="56" t="s">
        <v>79</v>
      </c>
      <c r="K25" s="56" t="s">
        <v>335</v>
      </c>
      <c r="L25" s="90"/>
      <c r="M25" s="50" t="s">
        <v>213</v>
      </c>
      <c r="N25" s="50" t="s">
        <v>328</v>
      </c>
      <c r="O25" s="90"/>
      <c r="P25" s="57" t="s">
        <v>193</v>
      </c>
      <c r="Q25" s="57" t="s">
        <v>336</v>
      </c>
      <c r="R25" s="90"/>
      <c r="S25" s="50" t="s">
        <v>205</v>
      </c>
      <c r="T25" s="50" t="s">
        <v>328</v>
      </c>
      <c r="U25" s="90"/>
      <c r="V25" s="50" t="s">
        <v>170</v>
      </c>
      <c r="W25" s="50" t="s">
        <v>306</v>
      </c>
      <c r="X25" s="90"/>
      <c r="Y25" s="50" t="s">
        <v>166</v>
      </c>
      <c r="Z25" s="50" t="s">
        <v>301</v>
      </c>
      <c r="AA25" s="90"/>
      <c r="AB25" s="50" t="s">
        <v>82</v>
      </c>
      <c r="AC25" s="50" t="s">
        <v>291</v>
      </c>
      <c r="AD25" s="85" t="s">
        <v>332</v>
      </c>
      <c r="AE25" s="58" t="s">
        <v>72</v>
      </c>
      <c r="AF25" s="58" t="s">
        <v>337</v>
      </c>
      <c r="AG25" s="85" t="s">
        <v>290</v>
      </c>
      <c r="AH25" s="50" t="s">
        <v>229</v>
      </c>
      <c r="AI25" s="50" t="s">
        <v>291</v>
      </c>
      <c r="AJ25" s="52">
        <v>15</v>
      </c>
    </row>
    <row r="26" spans="1:36" ht="21" customHeight="1">
      <c r="A26" s="93"/>
      <c r="B26" s="50"/>
      <c r="C26" s="51" t="s">
        <v>431</v>
      </c>
      <c r="D26" s="89" t="s">
        <v>304</v>
      </c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</row>
    <row r="27" spans="1:36" ht="21" customHeight="1">
      <c r="A27" s="93"/>
      <c r="B27" s="50">
        <v>6</v>
      </c>
      <c r="C27" s="50" t="s">
        <v>432</v>
      </c>
      <c r="D27" s="55" t="s">
        <v>45</v>
      </c>
      <c r="E27" s="55" t="s">
        <v>334</v>
      </c>
      <c r="F27" s="90" t="s">
        <v>278</v>
      </c>
      <c r="G27" s="50" t="s">
        <v>231</v>
      </c>
      <c r="H27" s="50" t="s">
        <v>286</v>
      </c>
      <c r="I27" s="90">
        <v>14</v>
      </c>
      <c r="J27" s="56" t="s">
        <v>79</v>
      </c>
      <c r="K27" s="56" t="s">
        <v>335</v>
      </c>
      <c r="L27" s="91" t="s">
        <v>281</v>
      </c>
      <c r="M27" s="50" t="s">
        <v>152</v>
      </c>
      <c r="N27" s="50" t="s">
        <v>331</v>
      </c>
      <c r="O27" s="90">
        <v>16</v>
      </c>
      <c r="P27" s="57" t="s">
        <v>193</v>
      </c>
      <c r="Q27" s="57" t="s">
        <v>336</v>
      </c>
      <c r="R27" s="91" t="s">
        <v>284</v>
      </c>
      <c r="S27" s="50" t="s">
        <v>100</v>
      </c>
      <c r="T27" s="50" t="s">
        <v>301</v>
      </c>
      <c r="U27" s="90">
        <v>10</v>
      </c>
      <c r="V27" s="50" t="s">
        <v>205</v>
      </c>
      <c r="W27" s="50" t="s">
        <v>328</v>
      </c>
      <c r="X27" s="91" t="s">
        <v>289</v>
      </c>
      <c r="Y27" s="50" t="s">
        <v>166</v>
      </c>
      <c r="Z27" s="50" t="s">
        <v>301</v>
      </c>
      <c r="AA27" s="91" t="s">
        <v>330</v>
      </c>
      <c r="AB27" s="50" t="s">
        <v>82</v>
      </c>
      <c r="AC27" s="50" t="s">
        <v>291</v>
      </c>
      <c r="AD27" s="91" t="s">
        <v>332</v>
      </c>
      <c r="AE27" s="58" t="s">
        <v>72</v>
      </c>
      <c r="AF27" s="58" t="s">
        <v>337</v>
      </c>
      <c r="AG27" s="91" t="s">
        <v>290</v>
      </c>
      <c r="AH27" s="50" t="s">
        <v>213</v>
      </c>
      <c r="AI27" s="50" t="s">
        <v>328</v>
      </c>
      <c r="AJ27" s="90">
        <v>15</v>
      </c>
    </row>
    <row r="28" spans="1:36" ht="21" customHeight="1">
      <c r="A28" s="93"/>
      <c r="B28" s="50">
        <v>7</v>
      </c>
      <c r="C28" s="50" t="s">
        <v>433</v>
      </c>
      <c r="D28" s="55" t="s">
        <v>45</v>
      </c>
      <c r="E28" s="55" t="s">
        <v>334</v>
      </c>
      <c r="F28" s="90"/>
      <c r="G28" s="50" t="s">
        <v>231</v>
      </c>
      <c r="H28" s="50" t="s">
        <v>286</v>
      </c>
      <c r="I28" s="90"/>
      <c r="J28" s="56" t="s">
        <v>79</v>
      </c>
      <c r="K28" s="56" t="s">
        <v>335</v>
      </c>
      <c r="L28" s="90"/>
      <c r="M28" s="50" t="s">
        <v>152</v>
      </c>
      <c r="N28" s="50" t="s">
        <v>331</v>
      </c>
      <c r="O28" s="90"/>
      <c r="P28" s="57" t="s">
        <v>193</v>
      </c>
      <c r="Q28" s="57" t="s">
        <v>336</v>
      </c>
      <c r="R28" s="90"/>
      <c r="S28" s="50" t="s">
        <v>100</v>
      </c>
      <c r="T28" s="50" t="s">
        <v>301</v>
      </c>
      <c r="U28" s="90"/>
      <c r="V28" s="50" t="s">
        <v>205</v>
      </c>
      <c r="W28" s="50" t="s">
        <v>328</v>
      </c>
      <c r="X28" s="90"/>
      <c r="Y28" s="50" t="s">
        <v>82</v>
      </c>
      <c r="Z28" s="50" t="s">
        <v>291</v>
      </c>
      <c r="AA28" s="90"/>
      <c r="AB28" s="50" t="s">
        <v>213</v>
      </c>
      <c r="AC28" s="50" t="s">
        <v>328</v>
      </c>
      <c r="AD28" s="90"/>
      <c r="AE28" s="58" t="s">
        <v>72</v>
      </c>
      <c r="AF28" s="58" t="s">
        <v>337</v>
      </c>
      <c r="AG28" s="90"/>
      <c r="AH28" s="50" t="s">
        <v>170</v>
      </c>
      <c r="AI28" s="50" t="s">
        <v>306</v>
      </c>
      <c r="AJ28" s="90"/>
    </row>
    <row r="29" spans="1:36" ht="21" customHeight="1">
      <c r="A29" s="93"/>
      <c r="B29" s="50">
        <v>8</v>
      </c>
      <c r="C29" s="50" t="s">
        <v>434</v>
      </c>
      <c r="D29" s="55" t="s">
        <v>45</v>
      </c>
      <c r="E29" s="55" t="s">
        <v>334</v>
      </c>
      <c r="F29" s="90"/>
      <c r="G29" s="50" t="s">
        <v>231</v>
      </c>
      <c r="H29" s="50" t="s">
        <v>286</v>
      </c>
      <c r="I29" s="90"/>
      <c r="J29" s="56" t="s">
        <v>79</v>
      </c>
      <c r="K29" s="56" t="s">
        <v>335</v>
      </c>
      <c r="L29" s="90"/>
      <c r="M29" s="50" t="s">
        <v>152</v>
      </c>
      <c r="N29" s="50" t="s">
        <v>331</v>
      </c>
      <c r="O29" s="90"/>
      <c r="P29" s="57" t="s">
        <v>193</v>
      </c>
      <c r="Q29" s="57" t="s">
        <v>336</v>
      </c>
      <c r="R29" s="90"/>
      <c r="S29" s="50" t="s">
        <v>100</v>
      </c>
      <c r="T29" s="50" t="s">
        <v>301</v>
      </c>
      <c r="U29" s="90"/>
      <c r="V29" s="50" t="s">
        <v>205</v>
      </c>
      <c r="W29" s="50" t="s">
        <v>328</v>
      </c>
      <c r="X29" s="90"/>
      <c r="Y29" s="50" t="s">
        <v>82</v>
      </c>
      <c r="Z29" s="50" t="s">
        <v>291</v>
      </c>
      <c r="AA29" s="90"/>
      <c r="AB29" s="50" t="s">
        <v>213</v>
      </c>
      <c r="AC29" s="50" t="s">
        <v>328</v>
      </c>
      <c r="AD29" s="90"/>
      <c r="AE29" s="58" t="s">
        <v>72</v>
      </c>
      <c r="AF29" s="58" t="s">
        <v>337</v>
      </c>
      <c r="AG29" s="90"/>
      <c r="AH29" s="50" t="s">
        <v>170</v>
      </c>
      <c r="AI29" s="50" t="s">
        <v>306</v>
      </c>
      <c r="AJ29" s="90"/>
    </row>
    <row r="30" spans="1:36" ht="21" customHeight="1">
      <c r="A30" s="93" t="s">
        <v>316</v>
      </c>
      <c r="B30" s="50"/>
      <c r="C30" s="50" t="s">
        <v>274</v>
      </c>
      <c r="D30" s="89" t="s">
        <v>309</v>
      </c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</row>
    <row r="31" spans="1:36" ht="21" customHeight="1">
      <c r="A31" s="93"/>
      <c r="B31" s="50">
        <v>1</v>
      </c>
      <c r="C31" s="50" t="s">
        <v>276</v>
      </c>
      <c r="D31" s="55" t="s">
        <v>117</v>
      </c>
      <c r="E31" s="55" t="s">
        <v>334</v>
      </c>
      <c r="F31" s="90" t="s">
        <v>278</v>
      </c>
      <c r="G31" s="50" t="s">
        <v>127</v>
      </c>
      <c r="H31" s="50" t="s">
        <v>291</v>
      </c>
      <c r="I31" s="90">
        <v>14</v>
      </c>
      <c r="J31" s="50" t="s">
        <v>49</v>
      </c>
      <c r="K31" s="50" t="s">
        <v>286</v>
      </c>
      <c r="L31" s="90">
        <v>16</v>
      </c>
      <c r="M31" s="56" t="s">
        <v>79</v>
      </c>
      <c r="N31" s="56" t="s">
        <v>335</v>
      </c>
      <c r="O31" s="91" t="s">
        <v>281</v>
      </c>
      <c r="P31" s="50" t="s">
        <v>82</v>
      </c>
      <c r="Q31" s="50" t="s">
        <v>291</v>
      </c>
      <c r="R31" s="90">
        <v>10</v>
      </c>
      <c r="S31" s="57" t="s">
        <v>193</v>
      </c>
      <c r="T31" s="57" t="s">
        <v>336</v>
      </c>
      <c r="U31" s="90" t="s">
        <v>284</v>
      </c>
      <c r="V31" s="50" t="s">
        <v>205</v>
      </c>
      <c r="W31" s="50" t="s">
        <v>328</v>
      </c>
      <c r="X31" s="91" t="s">
        <v>289</v>
      </c>
      <c r="Y31" s="50" t="s">
        <v>248</v>
      </c>
      <c r="Z31" s="50" t="s">
        <v>288</v>
      </c>
      <c r="AA31" s="91" t="s">
        <v>330</v>
      </c>
      <c r="AB31" s="50" t="s">
        <v>130</v>
      </c>
      <c r="AC31" s="50" t="s">
        <v>279</v>
      </c>
      <c r="AD31" s="91" t="s">
        <v>332</v>
      </c>
      <c r="AE31" s="58" t="s">
        <v>179</v>
      </c>
      <c r="AF31" s="58" t="s">
        <v>337</v>
      </c>
      <c r="AG31" s="91" t="s">
        <v>290</v>
      </c>
      <c r="AH31" s="50" t="s">
        <v>113</v>
      </c>
      <c r="AI31" s="50" t="s">
        <v>286</v>
      </c>
      <c r="AJ31" s="90">
        <v>15</v>
      </c>
    </row>
    <row r="32" spans="1:36" ht="21" customHeight="1">
      <c r="A32" s="93"/>
      <c r="B32" s="50">
        <v>2</v>
      </c>
      <c r="C32" s="50" t="s">
        <v>293</v>
      </c>
      <c r="D32" s="55" t="s">
        <v>117</v>
      </c>
      <c r="E32" s="55" t="s">
        <v>334</v>
      </c>
      <c r="F32" s="90"/>
      <c r="G32" s="50" t="s">
        <v>127</v>
      </c>
      <c r="H32" s="50" t="s">
        <v>291</v>
      </c>
      <c r="I32" s="90"/>
      <c r="J32" s="50" t="s">
        <v>49</v>
      </c>
      <c r="K32" s="50" t="s">
        <v>286</v>
      </c>
      <c r="L32" s="90"/>
      <c r="M32" s="56" t="s">
        <v>79</v>
      </c>
      <c r="N32" s="56" t="s">
        <v>335</v>
      </c>
      <c r="O32" s="90"/>
      <c r="P32" s="50" t="s">
        <v>82</v>
      </c>
      <c r="Q32" s="50" t="s">
        <v>291</v>
      </c>
      <c r="R32" s="90"/>
      <c r="S32" s="57" t="s">
        <v>193</v>
      </c>
      <c r="T32" s="57" t="s">
        <v>336</v>
      </c>
      <c r="U32" s="90"/>
      <c r="V32" s="50" t="s">
        <v>195</v>
      </c>
      <c r="W32" s="50" t="s">
        <v>307</v>
      </c>
      <c r="X32" s="90"/>
      <c r="Y32" s="50" t="s">
        <v>248</v>
      </c>
      <c r="Z32" s="50" t="s">
        <v>288</v>
      </c>
      <c r="AA32" s="90"/>
      <c r="AB32" s="50" t="s">
        <v>130</v>
      </c>
      <c r="AC32" s="50" t="s">
        <v>279</v>
      </c>
      <c r="AD32" s="90"/>
      <c r="AE32" s="58" t="s">
        <v>179</v>
      </c>
      <c r="AF32" s="58" t="s">
        <v>337</v>
      </c>
      <c r="AG32" s="90"/>
      <c r="AH32" s="50" t="s">
        <v>113</v>
      </c>
      <c r="AI32" s="50" t="s">
        <v>286</v>
      </c>
      <c r="AJ32" s="90"/>
    </row>
    <row r="33" spans="1:36" ht="21" customHeight="1">
      <c r="A33" s="93"/>
      <c r="B33" s="50">
        <v>3</v>
      </c>
      <c r="C33" s="50" t="s">
        <v>294</v>
      </c>
      <c r="D33" s="55" t="s">
        <v>117</v>
      </c>
      <c r="E33" s="55" t="s">
        <v>334</v>
      </c>
      <c r="F33" s="90"/>
      <c r="G33" s="50" t="s">
        <v>109</v>
      </c>
      <c r="H33" s="50" t="s">
        <v>331</v>
      </c>
      <c r="I33" s="90"/>
      <c r="J33" s="50" t="s">
        <v>49</v>
      </c>
      <c r="K33" s="50" t="s">
        <v>286</v>
      </c>
      <c r="L33" s="90"/>
      <c r="M33" s="56" t="s">
        <v>79</v>
      </c>
      <c r="N33" s="56" t="s">
        <v>335</v>
      </c>
      <c r="O33" s="90"/>
      <c r="P33" s="50" t="s">
        <v>205</v>
      </c>
      <c r="Q33" s="50" t="s">
        <v>328</v>
      </c>
      <c r="R33" s="90"/>
      <c r="S33" s="57" t="s">
        <v>193</v>
      </c>
      <c r="T33" s="57" t="s">
        <v>336</v>
      </c>
      <c r="U33" s="90"/>
      <c r="V33" s="50" t="s">
        <v>195</v>
      </c>
      <c r="W33" s="50" t="s">
        <v>307</v>
      </c>
      <c r="X33" s="90"/>
      <c r="Y33" s="50" t="s">
        <v>248</v>
      </c>
      <c r="Z33" s="50" t="s">
        <v>288</v>
      </c>
      <c r="AA33" s="90"/>
      <c r="AB33" s="50" t="s">
        <v>100</v>
      </c>
      <c r="AC33" s="50" t="s">
        <v>301</v>
      </c>
      <c r="AD33" s="90"/>
      <c r="AE33" s="58" t="s">
        <v>179</v>
      </c>
      <c r="AF33" s="58" t="s">
        <v>337</v>
      </c>
      <c r="AG33" s="90"/>
      <c r="AH33" s="50" t="s">
        <v>113</v>
      </c>
      <c r="AI33" s="50" t="s">
        <v>286</v>
      </c>
      <c r="AJ33" s="90"/>
    </row>
    <row r="34" spans="1:36" ht="21" customHeight="1">
      <c r="A34" s="93"/>
      <c r="B34" s="50"/>
      <c r="C34" s="51" t="s">
        <v>297</v>
      </c>
      <c r="D34" s="89" t="s">
        <v>298</v>
      </c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</row>
    <row r="35" spans="1:36" ht="21" customHeight="1">
      <c r="A35" s="93"/>
      <c r="B35" s="50">
        <v>4</v>
      </c>
      <c r="C35" s="50" t="s">
        <v>299</v>
      </c>
      <c r="D35" s="55" t="s">
        <v>117</v>
      </c>
      <c r="E35" s="55" t="s">
        <v>334</v>
      </c>
      <c r="F35" s="52" t="s">
        <v>278</v>
      </c>
      <c r="G35" s="50" t="s">
        <v>109</v>
      </c>
      <c r="H35" s="50" t="s">
        <v>331</v>
      </c>
      <c r="I35" s="52">
        <v>14</v>
      </c>
      <c r="J35" s="50" t="s">
        <v>213</v>
      </c>
      <c r="K35" s="50" t="s">
        <v>328</v>
      </c>
      <c r="L35" s="90">
        <v>16</v>
      </c>
      <c r="M35" s="56" t="s">
        <v>79</v>
      </c>
      <c r="N35" s="56" t="s">
        <v>335</v>
      </c>
      <c r="O35" s="91" t="s">
        <v>281</v>
      </c>
      <c r="P35" s="50" t="s">
        <v>195</v>
      </c>
      <c r="Q35" s="50" t="s">
        <v>307</v>
      </c>
      <c r="R35" s="90">
        <v>10</v>
      </c>
      <c r="S35" s="57" t="s">
        <v>193</v>
      </c>
      <c r="T35" s="57" t="s">
        <v>336</v>
      </c>
      <c r="U35" s="90" t="s">
        <v>284</v>
      </c>
      <c r="V35" s="50" t="s">
        <v>82</v>
      </c>
      <c r="W35" s="50" t="s">
        <v>291</v>
      </c>
      <c r="X35" s="91" t="s">
        <v>289</v>
      </c>
      <c r="Y35" s="50" t="s">
        <v>170</v>
      </c>
      <c r="Z35" s="50" t="s">
        <v>306</v>
      </c>
      <c r="AA35" s="90"/>
      <c r="AB35" s="50" t="s">
        <v>100</v>
      </c>
      <c r="AC35" s="50" t="s">
        <v>301</v>
      </c>
      <c r="AD35" s="91" t="s">
        <v>332</v>
      </c>
      <c r="AE35" s="58" t="s">
        <v>179</v>
      </c>
      <c r="AF35" s="58" t="s">
        <v>337</v>
      </c>
      <c r="AG35" s="91" t="s">
        <v>290</v>
      </c>
      <c r="AH35" s="50" t="s">
        <v>130</v>
      </c>
      <c r="AI35" s="50" t="s">
        <v>279</v>
      </c>
      <c r="AJ35" s="90">
        <v>15</v>
      </c>
    </row>
    <row r="36" spans="1:36" ht="21" customHeight="1">
      <c r="A36" s="93"/>
      <c r="B36" s="50">
        <v>5</v>
      </c>
      <c r="C36" s="50" t="s">
        <v>303</v>
      </c>
      <c r="D36" s="50" t="s">
        <v>109</v>
      </c>
      <c r="E36" s="50" t="s">
        <v>331</v>
      </c>
      <c r="F36" s="59">
        <v>14</v>
      </c>
      <c r="G36" s="55" t="s">
        <v>117</v>
      </c>
      <c r="H36" s="55" t="s">
        <v>334</v>
      </c>
      <c r="I36" s="52" t="s">
        <v>278</v>
      </c>
      <c r="J36" s="50" t="s">
        <v>213</v>
      </c>
      <c r="K36" s="50" t="s">
        <v>328</v>
      </c>
      <c r="L36" s="90"/>
      <c r="M36" s="56" t="s">
        <v>79</v>
      </c>
      <c r="N36" s="56" t="s">
        <v>335</v>
      </c>
      <c r="O36" s="90"/>
      <c r="P36" s="50" t="s">
        <v>195</v>
      </c>
      <c r="Q36" s="50" t="s">
        <v>307</v>
      </c>
      <c r="R36" s="90"/>
      <c r="S36" s="57" t="s">
        <v>193</v>
      </c>
      <c r="T36" s="57" t="s">
        <v>336</v>
      </c>
      <c r="U36" s="90"/>
      <c r="V36" s="50" t="s">
        <v>82</v>
      </c>
      <c r="W36" s="50" t="s">
        <v>291</v>
      </c>
      <c r="X36" s="90"/>
      <c r="Y36" s="50" t="s">
        <v>170</v>
      </c>
      <c r="Z36" s="50" t="s">
        <v>306</v>
      </c>
      <c r="AA36" s="90"/>
      <c r="AB36" s="50" t="s">
        <v>100</v>
      </c>
      <c r="AC36" s="50" t="s">
        <v>301</v>
      </c>
      <c r="AD36" s="90"/>
      <c r="AE36" s="58" t="s">
        <v>179</v>
      </c>
      <c r="AF36" s="58" t="s">
        <v>337</v>
      </c>
      <c r="AG36" s="90"/>
      <c r="AH36" s="50" t="s">
        <v>130</v>
      </c>
      <c r="AI36" s="50" t="s">
        <v>279</v>
      </c>
      <c r="AJ36" s="90"/>
    </row>
    <row r="37" spans="1:36" ht="21" customHeight="1">
      <c r="A37" s="93"/>
      <c r="B37" s="50"/>
      <c r="C37" s="51" t="s">
        <v>431</v>
      </c>
      <c r="D37" s="89" t="s">
        <v>304</v>
      </c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</row>
    <row r="38" spans="1:36" ht="21" customHeight="1">
      <c r="A38" s="93"/>
      <c r="B38" s="50">
        <v>6</v>
      </c>
      <c r="C38" s="50" t="s">
        <v>432</v>
      </c>
      <c r="D38" s="50" t="s">
        <v>109</v>
      </c>
      <c r="E38" s="50" t="s">
        <v>331</v>
      </c>
      <c r="F38" s="90">
        <v>14</v>
      </c>
      <c r="G38" s="55" t="s">
        <v>117</v>
      </c>
      <c r="H38" s="55" t="s">
        <v>334</v>
      </c>
      <c r="I38" s="90" t="s">
        <v>278</v>
      </c>
      <c r="J38" s="50" t="s">
        <v>248</v>
      </c>
      <c r="K38" s="50" t="s">
        <v>288</v>
      </c>
      <c r="L38" s="90">
        <v>16</v>
      </c>
      <c r="M38" s="56" t="s">
        <v>79</v>
      </c>
      <c r="N38" s="56" t="s">
        <v>335</v>
      </c>
      <c r="O38" s="91" t="s">
        <v>281</v>
      </c>
      <c r="P38" s="50" t="s">
        <v>100</v>
      </c>
      <c r="Q38" s="50" t="s">
        <v>301</v>
      </c>
      <c r="R38" s="90">
        <v>10</v>
      </c>
      <c r="S38" s="57" t="s">
        <v>193</v>
      </c>
      <c r="T38" s="57" t="s">
        <v>336</v>
      </c>
      <c r="U38" s="90" t="s">
        <v>284</v>
      </c>
      <c r="V38" s="50" t="s">
        <v>82</v>
      </c>
      <c r="W38" s="50" t="s">
        <v>291</v>
      </c>
      <c r="X38" s="91" t="s">
        <v>289</v>
      </c>
      <c r="Y38" s="50" t="s">
        <v>205</v>
      </c>
      <c r="Z38" s="50" t="s">
        <v>328</v>
      </c>
      <c r="AA38" s="91" t="s">
        <v>330</v>
      </c>
      <c r="AB38" s="50" t="s">
        <v>236</v>
      </c>
      <c r="AC38" s="50" t="s">
        <v>331</v>
      </c>
      <c r="AD38" s="91" t="s">
        <v>332</v>
      </c>
      <c r="AE38" s="58" t="s">
        <v>179</v>
      </c>
      <c r="AF38" s="58" t="s">
        <v>337</v>
      </c>
      <c r="AG38" s="91" t="s">
        <v>290</v>
      </c>
      <c r="AH38" s="50" t="s">
        <v>166</v>
      </c>
      <c r="AI38" s="50" t="s">
        <v>301</v>
      </c>
      <c r="AJ38" s="90">
        <v>15</v>
      </c>
    </row>
    <row r="39" spans="1:36" ht="21" customHeight="1">
      <c r="A39" s="93"/>
      <c r="B39" s="50">
        <v>7</v>
      </c>
      <c r="C39" s="50" t="s">
        <v>433</v>
      </c>
      <c r="D39" s="50" t="s">
        <v>109</v>
      </c>
      <c r="E39" s="50" t="s">
        <v>331</v>
      </c>
      <c r="F39" s="90"/>
      <c r="G39" s="55" t="s">
        <v>117</v>
      </c>
      <c r="H39" s="55" t="s">
        <v>334</v>
      </c>
      <c r="I39" s="90"/>
      <c r="J39" s="50" t="s">
        <v>248</v>
      </c>
      <c r="K39" s="50" t="s">
        <v>288</v>
      </c>
      <c r="L39" s="90"/>
      <c r="M39" s="56" t="s">
        <v>79</v>
      </c>
      <c r="N39" s="56" t="s">
        <v>335</v>
      </c>
      <c r="O39" s="90"/>
      <c r="P39" s="50" t="s">
        <v>170</v>
      </c>
      <c r="Q39" s="50" t="s">
        <v>306</v>
      </c>
      <c r="R39" s="90"/>
      <c r="S39" s="57" t="s">
        <v>193</v>
      </c>
      <c r="T39" s="57" t="s">
        <v>336</v>
      </c>
      <c r="U39" s="90"/>
      <c r="V39" s="50" t="s">
        <v>130</v>
      </c>
      <c r="W39" s="50" t="s">
        <v>279</v>
      </c>
      <c r="X39" s="90"/>
      <c r="Y39" s="50" t="s">
        <v>195</v>
      </c>
      <c r="Z39" s="50" t="s">
        <v>307</v>
      </c>
      <c r="AA39" s="90"/>
      <c r="AB39" s="50" t="s">
        <v>236</v>
      </c>
      <c r="AC39" s="50" t="s">
        <v>331</v>
      </c>
      <c r="AD39" s="90"/>
      <c r="AE39" s="58" t="s">
        <v>179</v>
      </c>
      <c r="AF39" s="58" t="s">
        <v>337</v>
      </c>
      <c r="AG39" s="90"/>
      <c r="AH39" s="50" t="s">
        <v>166</v>
      </c>
      <c r="AI39" s="50" t="s">
        <v>301</v>
      </c>
      <c r="AJ39" s="90"/>
    </row>
    <row r="40" spans="1:36" ht="21" customHeight="1">
      <c r="A40" s="93"/>
      <c r="B40" s="50">
        <v>8</v>
      </c>
      <c r="C40" s="50" t="s">
        <v>434</v>
      </c>
      <c r="D40" s="50" t="s">
        <v>109</v>
      </c>
      <c r="E40" s="50" t="s">
        <v>331</v>
      </c>
      <c r="F40" s="90"/>
      <c r="G40" s="55" t="s">
        <v>117</v>
      </c>
      <c r="H40" s="55" t="s">
        <v>334</v>
      </c>
      <c r="I40" s="90"/>
      <c r="J40" s="50" t="s">
        <v>248</v>
      </c>
      <c r="K40" s="50" t="s">
        <v>288</v>
      </c>
      <c r="L40" s="90"/>
      <c r="M40" s="56" t="s">
        <v>79</v>
      </c>
      <c r="N40" s="56" t="s">
        <v>335</v>
      </c>
      <c r="O40" s="90"/>
      <c r="P40" s="50" t="s">
        <v>170</v>
      </c>
      <c r="Q40" s="50" t="s">
        <v>306</v>
      </c>
      <c r="R40" s="90"/>
      <c r="S40" s="57" t="s">
        <v>193</v>
      </c>
      <c r="T40" s="57" t="s">
        <v>336</v>
      </c>
      <c r="U40" s="90"/>
      <c r="V40" s="50" t="s">
        <v>130</v>
      </c>
      <c r="W40" s="50" t="s">
        <v>279</v>
      </c>
      <c r="X40" s="90"/>
      <c r="Y40" s="50" t="s">
        <v>195</v>
      </c>
      <c r="Z40" s="50" t="s">
        <v>307</v>
      </c>
      <c r="AA40" s="90"/>
      <c r="AB40" s="50" t="s">
        <v>236</v>
      </c>
      <c r="AC40" s="50" t="s">
        <v>331</v>
      </c>
      <c r="AD40" s="90"/>
      <c r="AE40" s="58" t="s">
        <v>179</v>
      </c>
      <c r="AF40" s="58" t="s">
        <v>337</v>
      </c>
      <c r="AG40" s="90"/>
      <c r="AH40" s="50" t="s">
        <v>166</v>
      </c>
      <c r="AI40" s="50" t="s">
        <v>301</v>
      </c>
      <c r="AJ40" s="90"/>
    </row>
    <row r="41" spans="1:36" ht="21" customHeight="1">
      <c r="A41" s="93" t="s">
        <v>317</v>
      </c>
      <c r="B41" s="50"/>
      <c r="C41" s="51" t="s">
        <v>274</v>
      </c>
      <c r="D41" s="89" t="s">
        <v>309</v>
      </c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</row>
    <row r="42" spans="1:36" ht="21" customHeight="1">
      <c r="A42" s="93"/>
      <c r="B42" s="50">
        <v>1</v>
      </c>
      <c r="C42" s="50" t="s">
        <v>276</v>
      </c>
      <c r="D42" s="50" t="s">
        <v>195</v>
      </c>
      <c r="E42" s="50" t="s">
        <v>307</v>
      </c>
      <c r="F42" s="90">
        <v>14</v>
      </c>
      <c r="G42" s="55" t="s">
        <v>45</v>
      </c>
      <c r="H42" s="55" t="s">
        <v>334</v>
      </c>
      <c r="I42" s="90" t="s">
        <v>278</v>
      </c>
      <c r="J42" s="56" t="s">
        <v>79</v>
      </c>
      <c r="K42" s="56" t="s">
        <v>335</v>
      </c>
      <c r="L42" s="91" t="s">
        <v>281</v>
      </c>
      <c r="M42" s="50" t="s">
        <v>213</v>
      </c>
      <c r="N42" s="50" t="s">
        <v>328</v>
      </c>
      <c r="O42" s="89">
        <v>16</v>
      </c>
      <c r="P42" s="50" t="s">
        <v>100</v>
      </c>
      <c r="Q42" s="50" t="s">
        <v>301</v>
      </c>
      <c r="R42" s="90">
        <v>10</v>
      </c>
      <c r="S42" s="57" t="s">
        <v>224</v>
      </c>
      <c r="T42" s="57" t="s">
        <v>336</v>
      </c>
      <c r="U42" s="90" t="s">
        <v>284</v>
      </c>
      <c r="V42" s="50" t="s">
        <v>250</v>
      </c>
      <c r="W42" s="50" t="s">
        <v>331</v>
      </c>
      <c r="X42" s="91" t="s">
        <v>330</v>
      </c>
      <c r="Y42" s="53" t="s">
        <v>56</v>
      </c>
      <c r="Z42" s="53" t="s">
        <v>329</v>
      </c>
      <c r="AA42" s="91" t="s">
        <v>312</v>
      </c>
      <c r="AB42" s="58" t="s">
        <v>179</v>
      </c>
      <c r="AC42" s="58" t="s">
        <v>337</v>
      </c>
      <c r="AD42" s="91" t="s">
        <v>290</v>
      </c>
      <c r="AE42" s="50" t="s">
        <v>130</v>
      </c>
      <c r="AF42" s="50" t="s">
        <v>279</v>
      </c>
      <c r="AG42" s="91" t="s">
        <v>332</v>
      </c>
      <c r="AH42" s="50" t="s">
        <v>152</v>
      </c>
      <c r="AI42" s="50" t="s">
        <v>331</v>
      </c>
      <c r="AJ42" s="90">
        <v>15</v>
      </c>
    </row>
    <row r="43" spans="1:36" ht="21" customHeight="1">
      <c r="A43" s="93"/>
      <c r="B43" s="50">
        <v>2</v>
      </c>
      <c r="C43" s="50" t="s">
        <v>293</v>
      </c>
      <c r="D43" s="50" t="s">
        <v>195</v>
      </c>
      <c r="E43" s="50" t="s">
        <v>307</v>
      </c>
      <c r="F43" s="90"/>
      <c r="G43" s="55" t="s">
        <v>45</v>
      </c>
      <c r="H43" s="55" t="s">
        <v>334</v>
      </c>
      <c r="I43" s="90"/>
      <c r="J43" s="56" t="s">
        <v>79</v>
      </c>
      <c r="K43" s="56" t="s">
        <v>335</v>
      </c>
      <c r="L43" s="90"/>
      <c r="M43" s="50" t="s">
        <v>213</v>
      </c>
      <c r="N43" s="50" t="s">
        <v>328</v>
      </c>
      <c r="O43" s="89"/>
      <c r="P43" s="50" t="s">
        <v>100</v>
      </c>
      <c r="Q43" s="50" t="s">
        <v>301</v>
      </c>
      <c r="R43" s="90"/>
      <c r="S43" s="57" t="s">
        <v>224</v>
      </c>
      <c r="T43" s="57" t="s">
        <v>336</v>
      </c>
      <c r="U43" s="90"/>
      <c r="V43" s="50" t="s">
        <v>250</v>
      </c>
      <c r="W43" s="50" t="s">
        <v>331</v>
      </c>
      <c r="X43" s="90"/>
      <c r="Y43" s="53" t="s">
        <v>56</v>
      </c>
      <c r="Z43" s="53" t="s">
        <v>329</v>
      </c>
      <c r="AA43" s="90"/>
      <c r="AB43" s="58" t="s">
        <v>179</v>
      </c>
      <c r="AC43" s="58" t="s">
        <v>337</v>
      </c>
      <c r="AD43" s="90"/>
      <c r="AE43" s="50" t="s">
        <v>130</v>
      </c>
      <c r="AF43" s="50" t="s">
        <v>279</v>
      </c>
      <c r="AG43" s="90"/>
      <c r="AH43" s="50" t="s">
        <v>152</v>
      </c>
      <c r="AI43" s="50" t="s">
        <v>331</v>
      </c>
      <c r="AJ43" s="90"/>
    </row>
    <row r="44" spans="1:36" ht="21" customHeight="1">
      <c r="A44" s="93"/>
      <c r="B44" s="50">
        <v>3</v>
      </c>
      <c r="C44" s="50" t="s">
        <v>294</v>
      </c>
      <c r="D44" s="50" t="s">
        <v>213</v>
      </c>
      <c r="E44" s="50" t="s">
        <v>328</v>
      </c>
      <c r="F44" s="90"/>
      <c r="G44" s="55" t="s">
        <v>45</v>
      </c>
      <c r="H44" s="55" t="s">
        <v>334</v>
      </c>
      <c r="I44" s="90"/>
      <c r="J44" s="56" t="s">
        <v>79</v>
      </c>
      <c r="K44" s="56" t="s">
        <v>335</v>
      </c>
      <c r="L44" s="90"/>
      <c r="M44" s="50" t="s">
        <v>130</v>
      </c>
      <c r="N44" s="50" t="s">
        <v>279</v>
      </c>
      <c r="O44" s="89"/>
      <c r="P44" s="50" t="s">
        <v>175</v>
      </c>
      <c r="Q44" s="50" t="s">
        <v>331</v>
      </c>
      <c r="R44" s="90"/>
      <c r="S44" s="57" t="s">
        <v>224</v>
      </c>
      <c r="T44" s="57" t="s">
        <v>336</v>
      </c>
      <c r="U44" s="90"/>
      <c r="V44" s="50" t="s">
        <v>250</v>
      </c>
      <c r="W44" s="50" t="s">
        <v>331</v>
      </c>
      <c r="X44" s="90"/>
      <c r="Y44" s="53" t="s">
        <v>56</v>
      </c>
      <c r="Z44" s="53" t="s">
        <v>329</v>
      </c>
      <c r="AA44" s="90"/>
      <c r="AB44" s="58" t="s">
        <v>179</v>
      </c>
      <c r="AC44" s="58" t="s">
        <v>337</v>
      </c>
      <c r="AD44" s="90"/>
      <c r="AE44" s="50" t="s">
        <v>195</v>
      </c>
      <c r="AF44" s="50" t="s">
        <v>307</v>
      </c>
      <c r="AG44" s="90"/>
      <c r="AH44" s="50" t="s">
        <v>152</v>
      </c>
      <c r="AI44" s="50" t="s">
        <v>331</v>
      </c>
      <c r="AJ44" s="90"/>
    </row>
    <row r="45" spans="1:36" ht="21" customHeight="1">
      <c r="A45" s="93"/>
      <c r="B45" s="50"/>
      <c r="C45" s="51" t="s">
        <v>297</v>
      </c>
      <c r="D45" s="89" t="s">
        <v>298</v>
      </c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</row>
    <row r="46" spans="1:36" ht="21" customHeight="1">
      <c r="A46" s="93"/>
      <c r="B46" s="50">
        <v>4</v>
      </c>
      <c r="C46" s="50" t="s">
        <v>299</v>
      </c>
      <c r="D46" s="50" t="s">
        <v>213</v>
      </c>
      <c r="E46" s="50" t="s">
        <v>328</v>
      </c>
      <c r="F46" s="90">
        <v>14</v>
      </c>
      <c r="G46" s="55" t="s">
        <v>45</v>
      </c>
      <c r="H46" s="55" t="s">
        <v>334</v>
      </c>
      <c r="I46" s="90" t="s">
        <v>278</v>
      </c>
      <c r="J46" s="56" t="s">
        <v>79</v>
      </c>
      <c r="K46" s="56" t="s">
        <v>335</v>
      </c>
      <c r="L46" s="85" t="s">
        <v>281</v>
      </c>
      <c r="M46" s="50" t="s">
        <v>130</v>
      </c>
      <c r="N46" s="50" t="s">
        <v>279</v>
      </c>
      <c r="O46" s="52">
        <v>16</v>
      </c>
      <c r="P46" s="50" t="s">
        <v>175</v>
      </c>
      <c r="Q46" s="50" t="s">
        <v>331</v>
      </c>
      <c r="R46" s="52">
        <v>10</v>
      </c>
      <c r="S46" s="57" t="s">
        <v>224</v>
      </c>
      <c r="T46" s="57" t="s">
        <v>336</v>
      </c>
      <c r="U46" s="52" t="s">
        <v>284</v>
      </c>
      <c r="V46" s="50" t="s">
        <v>82</v>
      </c>
      <c r="W46" s="50" t="s">
        <v>291</v>
      </c>
      <c r="X46" s="85" t="s">
        <v>330</v>
      </c>
      <c r="Y46" s="53" t="s">
        <v>56</v>
      </c>
      <c r="Z46" s="53" t="s">
        <v>329</v>
      </c>
      <c r="AA46" s="85" t="s">
        <v>312</v>
      </c>
      <c r="AB46" s="58" t="s">
        <v>179</v>
      </c>
      <c r="AC46" s="58" t="s">
        <v>337</v>
      </c>
      <c r="AD46" s="91" t="s">
        <v>290</v>
      </c>
      <c r="AE46" s="50" t="s">
        <v>195</v>
      </c>
      <c r="AF46" s="50" t="s">
        <v>307</v>
      </c>
      <c r="AG46" s="91" t="s">
        <v>332</v>
      </c>
      <c r="AH46" s="50" t="s">
        <v>229</v>
      </c>
      <c r="AI46" s="50" t="s">
        <v>291</v>
      </c>
      <c r="AJ46" s="90">
        <v>15</v>
      </c>
    </row>
    <row r="47" spans="1:36" ht="21" customHeight="1">
      <c r="A47" s="93"/>
      <c r="B47" s="50">
        <v>5</v>
      </c>
      <c r="C47" s="50" t="s">
        <v>303</v>
      </c>
      <c r="D47" s="50" t="s">
        <v>170</v>
      </c>
      <c r="E47" s="50" t="s">
        <v>306</v>
      </c>
      <c r="F47" s="90"/>
      <c r="G47" s="55" t="s">
        <v>45</v>
      </c>
      <c r="H47" s="55" t="s">
        <v>334</v>
      </c>
      <c r="I47" s="90"/>
      <c r="J47" s="50" t="s">
        <v>195</v>
      </c>
      <c r="K47" s="50" t="s">
        <v>307</v>
      </c>
      <c r="L47" s="52">
        <v>16</v>
      </c>
      <c r="M47" s="56" t="s">
        <v>79</v>
      </c>
      <c r="N47" s="56" t="s">
        <v>335</v>
      </c>
      <c r="O47" s="85" t="s">
        <v>281</v>
      </c>
      <c r="P47" s="57" t="s">
        <v>224</v>
      </c>
      <c r="Q47" s="57" t="s">
        <v>336</v>
      </c>
      <c r="R47" s="85" t="s">
        <v>284</v>
      </c>
      <c r="S47" s="50" t="s">
        <v>130</v>
      </c>
      <c r="T47" s="50" t="s">
        <v>279</v>
      </c>
      <c r="U47" s="51">
        <v>10</v>
      </c>
      <c r="V47" s="53" t="s">
        <v>123</v>
      </c>
      <c r="W47" s="53" t="s">
        <v>329</v>
      </c>
      <c r="X47" s="85" t="s">
        <v>312</v>
      </c>
      <c r="Y47" s="50" t="s">
        <v>250</v>
      </c>
      <c r="Z47" s="50" t="s">
        <v>331</v>
      </c>
      <c r="AA47" s="85" t="s">
        <v>330</v>
      </c>
      <c r="AB47" s="58" t="s">
        <v>179</v>
      </c>
      <c r="AC47" s="58" t="s">
        <v>337</v>
      </c>
      <c r="AD47" s="90"/>
      <c r="AE47" s="50" t="s">
        <v>236</v>
      </c>
      <c r="AF47" s="50" t="s">
        <v>331</v>
      </c>
      <c r="AG47" s="90"/>
      <c r="AH47" s="50" t="s">
        <v>229</v>
      </c>
      <c r="AI47" s="50" t="s">
        <v>291</v>
      </c>
      <c r="AJ47" s="90"/>
    </row>
    <row r="48" spans="1:36" ht="21" customHeight="1">
      <c r="A48" s="93"/>
      <c r="B48" s="50"/>
      <c r="C48" s="51" t="s">
        <v>431</v>
      </c>
      <c r="D48" s="89" t="s">
        <v>304</v>
      </c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</row>
    <row r="49" spans="1:38" ht="21" customHeight="1">
      <c r="A49" s="93"/>
      <c r="B49" s="50">
        <v>6</v>
      </c>
      <c r="C49" s="50" t="s">
        <v>432</v>
      </c>
      <c r="D49" s="50" t="s">
        <v>170</v>
      </c>
      <c r="E49" s="50" t="s">
        <v>306</v>
      </c>
      <c r="F49" s="90">
        <v>14</v>
      </c>
      <c r="G49" s="55" t="s">
        <v>216</v>
      </c>
      <c r="H49" s="55" t="s">
        <v>334</v>
      </c>
      <c r="I49" s="90" t="s">
        <v>278</v>
      </c>
      <c r="J49" s="50" t="s">
        <v>239</v>
      </c>
      <c r="K49" s="50" t="s">
        <v>291</v>
      </c>
      <c r="L49" s="90">
        <v>16</v>
      </c>
      <c r="M49" s="56" t="s">
        <v>79</v>
      </c>
      <c r="N49" s="56" t="s">
        <v>335</v>
      </c>
      <c r="O49" s="91" t="s">
        <v>281</v>
      </c>
      <c r="P49" s="57" t="s">
        <v>224</v>
      </c>
      <c r="Q49" s="57" t="s">
        <v>336</v>
      </c>
      <c r="R49" s="91" t="s">
        <v>284</v>
      </c>
      <c r="S49" s="50" t="s">
        <v>130</v>
      </c>
      <c r="T49" s="50" t="s">
        <v>279</v>
      </c>
      <c r="U49" s="90">
        <v>10</v>
      </c>
      <c r="V49" s="53" t="s">
        <v>123</v>
      </c>
      <c r="W49" s="53" t="s">
        <v>329</v>
      </c>
      <c r="X49" s="91" t="s">
        <v>312</v>
      </c>
      <c r="Y49" s="50" t="s">
        <v>250</v>
      </c>
      <c r="Z49" s="50" t="s">
        <v>331</v>
      </c>
      <c r="AA49" s="91" t="s">
        <v>330</v>
      </c>
      <c r="AB49" s="58" t="s">
        <v>179</v>
      </c>
      <c r="AC49" s="58" t="s">
        <v>337</v>
      </c>
      <c r="AD49" s="91" t="s">
        <v>290</v>
      </c>
      <c r="AE49" s="50" t="s">
        <v>236</v>
      </c>
      <c r="AF49" s="50" t="s">
        <v>331</v>
      </c>
      <c r="AG49" s="91" t="s">
        <v>332</v>
      </c>
      <c r="AH49" s="50" t="s">
        <v>213</v>
      </c>
      <c r="AI49" s="50" t="s">
        <v>328</v>
      </c>
      <c r="AJ49" s="90">
        <v>15</v>
      </c>
    </row>
    <row r="50" spans="1:38" ht="21" customHeight="1">
      <c r="A50" s="93"/>
      <c r="B50" s="50">
        <v>7</v>
      </c>
      <c r="C50" s="50" t="s">
        <v>433</v>
      </c>
      <c r="D50" s="50" t="s">
        <v>92</v>
      </c>
      <c r="E50" s="50" t="s">
        <v>291</v>
      </c>
      <c r="F50" s="90"/>
      <c r="G50" s="55" t="s">
        <v>216</v>
      </c>
      <c r="H50" s="55" t="s">
        <v>334</v>
      </c>
      <c r="I50" s="90"/>
      <c r="J50" s="50" t="s">
        <v>213</v>
      </c>
      <c r="K50" s="50" t="s">
        <v>328</v>
      </c>
      <c r="L50" s="90"/>
      <c r="M50" s="56" t="s">
        <v>79</v>
      </c>
      <c r="N50" s="56" t="s">
        <v>335</v>
      </c>
      <c r="O50" s="90"/>
      <c r="P50" s="57" t="s">
        <v>224</v>
      </c>
      <c r="Q50" s="57" t="s">
        <v>336</v>
      </c>
      <c r="R50" s="90"/>
      <c r="S50" s="50" t="s">
        <v>170</v>
      </c>
      <c r="T50" s="50" t="s">
        <v>306</v>
      </c>
      <c r="U50" s="90"/>
      <c r="V50" s="53" t="s">
        <v>123</v>
      </c>
      <c r="W50" s="53" t="s">
        <v>329</v>
      </c>
      <c r="X50" s="90"/>
      <c r="Y50" s="50" t="s">
        <v>130</v>
      </c>
      <c r="Z50" s="50" t="s">
        <v>279</v>
      </c>
      <c r="AA50" s="90"/>
      <c r="AB50" s="58" t="s">
        <v>179</v>
      </c>
      <c r="AC50" s="58" t="s">
        <v>337</v>
      </c>
      <c r="AD50" s="90"/>
      <c r="AE50" s="50" t="s">
        <v>82</v>
      </c>
      <c r="AF50" s="50" t="s">
        <v>291</v>
      </c>
      <c r="AG50" s="90"/>
      <c r="AH50" s="50" t="s">
        <v>195</v>
      </c>
      <c r="AI50" s="50" t="s">
        <v>307</v>
      </c>
      <c r="AJ50" s="90"/>
    </row>
    <row r="51" spans="1:38" ht="21" customHeight="1">
      <c r="A51" s="93"/>
      <c r="B51" s="50">
        <v>8</v>
      </c>
      <c r="C51" s="50" t="s">
        <v>434</v>
      </c>
      <c r="D51" s="50" t="s">
        <v>92</v>
      </c>
      <c r="E51" s="50" t="s">
        <v>291</v>
      </c>
      <c r="F51" s="90"/>
      <c r="G51" s="55" t="s">
        <v>216</v>
      </c>
      <c r="H51" s="55" t="s">
        <v>334</v>
      </c>
      <c r="I51" s="90"/>
      <c r="J51" s="50" t="s">
        <v>213</v>
      </c>
      <c r="K51" s="50" t="s">
        <v>328</v>
      </c>
      <c r="L51" s="90"/>
      <c r="M51" s="56" t="s">
        <v>79</v>
      </c>
      <c r="N51" s="56" t="s">
        <v>335</v>
      </c>
      <c r="O51" s="90"/>
      <c r="P51" s="57" t="s">
        <v>224</v>
      </c>
      <c r="Q51" s="57" t="s">
        <v>336</v>
      </c>
      <c r="R51" s="90"/>
      <c r="S51" s="50" t="s">
        <v>170</v>
      </c>
      <c r="T51" s="50" t="s">
        <v>306</v>
      </c>
      <c r="U51" s="90"/>
      <c r="V51" s="53" t="s">
        <v>123</v>
      </c>
      <c r="W51" s="53" t="s">
        <v>329</v>
      </c>
      <c r="X51" s="90"/>
      <c r="Y51" s="50" t="s">
        <v>130</v>
      </c>
      <c r="Z51" s="50" t="s">
        <v>279</v>
      </c>
      <c r="AA51" s="90"/>
      <c r="AB51" s="58" t="s">
        <v>179</v>
      </c>
      <c r="AC51" s="58" t="s">
        <v>337</v>
      </c>
      <c r="AD51" s="90"/>
      <c r="AE51" s="50" t="s">
        <v>82</v>
      </c>
      <c r="AF51" s="50" t="s">
        <v>291</v>
      </c>
      <c r="AG51" s="90"/>
      <c r="AH51" s="50" t="s">
        <v>195</v>
      </c>
      <c r="AI51" s="50" t="s">
        <v>307</v>
      </c>
      <c r="AJ51" s="90"/>
    </row>
    <row r="52" spans="1:38" ht="21" customHeight="1">
      <c r="A52" s="93" t="s">
        <v>320</v>
      </c>
      <c r="B52" s="50"/>
      <c r="C52" s="51" t="s">
        <v>274</v>
      </c>
      <c r="D52" s="89" t="s">
        <v>321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L52" s="60"/>
    </row>
    <row r="53" spans="1:38" ht="21" customHeight="1">
      <c r="A53" s="93"/>
      <c r="B53" s="50">
        <v>1</v>
      </c>
      <c r="C53" s="50" t="s">
        <v>276</v>
      </c>
      <c r="D53" s="50" t="s">
        <v>100</v>
      </c>
      <c r="E53" s="50" t="s">
        <v>301</v>
      </c>
      <c r="F53" s="90">
        <v>13</v>
      </c>
      <c r="G53" s="50" t="s">
        <v>109</v>
      </c>
      <c r="H53" s="50" t="s">
        <v>331</v>
      </c>
      <c r="I53" s="90">
        <v>14</v>
      </c>
      <c r="J53" s="50" t="s">
        <v>130</v>
      </c>
      <c r="K53" s="50" t="s">
        <v>279</v>
      </c>
      <c r="L53" s="91" t="s">
        <v>282</v>
      </c>
      <c r="M53" s="50" t="s">
        <v>239</v>
      </c>
      <c r="N53" s="50" t="s">
        <v>291</v>
      </c>
      <c r="O53" s="90">
        <v>16</v>
      </c>
      <c r="P53" s="50" t="s">
        <v>175</v>
      </c>
      <c r="Q53" s="50" t="s">
        <v>331</v>
      </c>
      <c r="R53" s="90">
        <v>17</v>
      </c>
      <c r="S53" s="50" t="s">
        <v>49</v>
      </c>
      <c r="T53" s="50" t="s">
        <v>286</v>
      </c>
      <c r="U53" s="90">
        <v>10</v>
      </c>
      <c r="V53" s="50" t="s">
        <v>166</v>
      </c>
      <c r="W53" s="50" t="s">
        <v>301</v>
      </c>
      <c r="X53" s="91" t="s">
        <v>312</v>
      </c>
      <c r="Y53" s="53" t="s">
        <v>56</v>
      </c>
      <c r="Z53" s="53" t="s">
        <v>329</v>
      </c>
      <c r="AA53" s="91" t="s">
        <v>330</v>
      </c>
      <c r="AB53" s="50" t="s">
        <v>170</v>
      </c>
      <c r="AC53" s="50" t="s">
        <v>306</v>
      </c>
      <c r="AD53" s="91" t="s">
        <v>313</v>
      </c>
      <c r="AE53" s="50" t="s">
        <v>63</v>
      </c>
      <c r="AF53" s="50" t="s">
        <v>288</v>
      </c>
      <c r="AG53" s="91" t="s">
        <v>332</v>
      </c>
      <c r="AH53" s="50" t="s">
        <v>152</v>
      </c>
      <c r="AI53" s="50" t="s">
        <v>331</v>
      </c>
      <c r="AJ53" s="90">
        <v>15</v>
      </c>
    </row>
    <row r="54" spans="1:38" ht="21" customHeight="1">
      <c r="A54" s="93"/>
      <c r="B54" s="50">
        <v>2</v>
      </c>
      <c r="C54" s="50" t="s">
        <v>293</v>
      </c>
      <c r="D54" s="50" t="s">
        <v>100</v>
      </c>
      <c r="E54" s="50" t="s">
        <v>301</v>
      </c>
      <c r="F54" s="90"/>
      <c r="G54" s="50" t="s">
        <v>109</v>
      </c>
      <c r="H54" s="50" t="s">
        <v>331</v>
      </c>
      <c r="I54" s="90"/>
      <c r="J54" s="50" t="s">
        <v>130</v>
      </c>
      <c r="K54" s="50" t="s">
        <v>279</v>
      </c>
      <c r="L54" s="90"/>
      <c r="M54" s="50" t="s">
        <v>239</v>
      </c>
      <c r="N54" s="50" t="s">
        <v>291</v>
      </c>
      <c r="O54" s="90"/>
      <c r="P54" s="50" t="s">
        <v>175</v>
      </c>
      <c r="Q54" s="50" t="s">
        <v>331</v>
      </c>
      <c r="R54" s="90"/>
      <c r="S54" s="50" t="s">
        <v>49</v>
      </c>
      <c r="T54" s="50" t="s">
        <v>286</v>
      </c>
      <c r="U54" s="90"/>
      <c r="V54" s="50" t="s">
        <v>166</v>
      </c>
      <c r="W54" s="50" t="s">
        <v>301</v>
      </c>
      <c r="X54" s="90"/>
      <c r="Y54" s="53" t="s">
        <v>56</v>
      </c>
      <c r="Z54" s="53" t="s">
        <v>329</v>
      </c>
      <c r="AA54" s="90"/>
      <c r="AB54" s="50" t="s">
        <v>170</v>
      </c>
      <c r="AC54" s="50" t="s">
        <v>306</v>
      </c>
      <c r="AD54" s="90"/>
      <c r="AE54" s="50" t="s">
        <v>63</v>
      </c>
      <c r="AF54" s="50" t="s">
        <v>288</v>
      </c>
      <c r="AG54" s="90"/>
      <c r="AH54" s="50" t="s">
        <v>152</v>
      </c>
      <c r="AI54" s="50" t="s">
        <v>331</v>
      </c>
      <c r="AJ54" s="90"/>
    </row>
    <row r="55" spans="1:38" ht="21" customHeight="1">
      <c r="A55" s="93"/>
      <c r="B55" s="50">
        <v>3</v>
      </c>
      <c r="C55" s="50" t="s">
        <v>294</v>
      </c>
      <c r="D55" s="50" t="s">
        <v>100</v>
      </c>
      <c r="E55" s="50" t="s">
        <v>301</v>
      </c>
      <c r="F55" s="90"/>
      <c r="G55" s="50" t="s">
        <v>109</v>
      </c>
      <c r="H55" s="50" t="s">
        <v>331</v>
      </c>
      <c r="I55" s="90"/>
      <c r="J55" s="50" t="s">
        <v>195</v>
      </c>
      <c r="K55" s="50" t="s">
        <v>307</v>
      </c>
      <c r="L55" s="90"/>
      <c r="M55" s="50" t="s">
        <v>239</v>
      </c>
      <c r="N55" s="50" t="s">
        <v>291</v>
      </c>
      <c r="O55" s="90"/>
      <c r="P55" s="50" t="s">
        <v>175</v>
      </c>
      <c r="Q55" s="50" t="s">
        <v>331</v>
      </c>
      <c r="R55" s="90"/>
      <c r="S55" s="50" t="s">
        <v>49</v>
      </c>
      <c r="T55" s="50" t="s">
        <v>286</v>
      </c>
      <c r="U55" s="90"/>
      <c r="V55" s="50" t="s">
        <v>166</v>
      </c>
      <c r="W55" s="50" t="s">
        <v>301</v>
      </c>
      <c r="X55" s="90"/>
      <c r="Y55" s="53" t="s">
        <v>56</v>
      </c>
      <c r="Z55" s="53" t="s">
        <v>329</v>
      </c>
      <c r="AA55" s="90"/>
      <c r="AB55" s="50" t="s">
        <v>236</v>
      </c>
      <c r="AC55" s="50" t="s">
        <v>331</v>
      </c>
      <c r="AD55" s="90"/>
      <c r="AE55" s="50" t="s">
        <v>63</v>
      </c>
      <c r="AF55" s="50" t="s">
        <v>288</v>
      </c>
      <c r="AG55" s="90"/>
      <c r="AH55" s="50" t="s">
        <v>229</v>
      </c>
      <c r="AI55" s="50" t="s">
        <v>291</v>
      </c>
      <c r="AJ55" s="90"/>
    </row>
    <row r="56" spans="1:38" ht="21" customHeight="1">
      <c r="A56" s="93"/>
      <c r="B56" s="50"/>
      <c r="C56" s="51" t="s">
        <v>297</v>
      </c>
      <c r="D56" s="89" t="s">
        <v>298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</row>
    <row r="57" spans="1:38" ht="21" customHeight="1">
      <c r="A57" s="93"/>
      <c r="B57" s="50">
        <v>4</v>
      </c>
      <c r="C57" s="50" t="s">
        <v>299</v>
      </c>
      <c r="D57" s="50" t="s">
        <v>92</v>
      </c>
      <c r="E57" s="50" t="s">
        <v>291</v>
      </c>
      <c r="F57" s="90">
        <v>13</v>
      </c>
      <c r="G57" s="50" t="s">
        <v>170</v>
      </c>
      <c r="H57" s="50" t="s">
        <v>306</v>
      </c>
      <c r="I57" s="90">
        <v>14</v>
      </c>
      <c r="J57" s="50" t="s">
        <v>152</v>
      </c>
      <c r="K57" s="50" t="s">
        <v>331</v>
      </c>
      <c r="L57" s="91" t="s">
        <v>282</v>
      </c>
      <c r="M57" s="50" t="s">
        <v>49</v>
      </c>
      <c r="N57" s="50" t="s">
        <v>286</v>
      </c>
      <c r="O57" s="90">
        <v>16</v>
      </c>
      <c r="P57" s="50" t="s">
        <v>130</v>
      </c>
      <c r="Q57" s="50" t="s">
        <v>279</v>
      </c>
      <c r="R57" s="90">
        <v>17</v>
      </c>
      <c r="S57" s="50" t="s">
        <v>175</v>
      </c>
      <c r="T57" s="50" t="s">
        <v>331</v>
      </c>
      <c r="U57" s="90">
        <v>10</v>
      </c>
      <c r="V57" s="50" t="s">
        <v>250</v>
      </c>
      <c r="W57" s="50" t="s">
        <v>331</v>
      </c>
      <c r="X57" s="91" t="s">
        <v>312</v>
      </c>
      <c r="Y57" s="53" t="s">
        <v>56</v>
      </c>
      <c r="Z57" s="53" t="s">
        <v>329</v>
      </c>
      <c r="AA57" s="91" t="s">
        <v>330</v>
      </c>
      <c r="AB57" s="50" t="s">
        <v>236</v>
      </c>
      <c r="AC57" s="50" t="s">
        <v>331</v>
      </c>
      <c r="AD57" s="91" t="s">
        <v>313</v>
      </c>
      <c r="AE57" s="50" t="s">
        <v>82</v>
      </c>
      <c r="AF57" s="50" t="s">
        <v>291</v>
      </c>
      <c r="AG57" s="91" t="s">
        <v>332</v>
      </c>
      <c r="AH57" s="50" t="s">
        <v>213</v>
      </c>
      <c r="AI57" s="50" t="s">
        <v>328</v>
      </c>
      <c r="AJ57" s="90">
        <v>15</v>
      </c>
    </row>
    <row r="58" spans="1:38" ht="21" customHeight="1">
      <c r="A58" s="93"/>
      <c r="B58" s="50">
        <v>5</v>
      </c>
      <c r="C58" s="50" t="s">
        <v>303</v>
      </c>
      <c r="D58" s="50" t="s">
        <v>92</v>
      </c>
      <c r="E58" s="50" t="s">
        <v>291</v>
      </c>
      <c r="F58" s="90"/>
      <c r="G58" s="50" t="s">
        <v>170</v>
      </c>
      <c r="H58" s="50" t="s">
        <v>306</v>
      </c>
      <c r="I58" s="90"/>
      <c r="J58" s="50" t="s">
        <v>152</v>
      </c>
      <c r="K58" s="50" t="s">
        <v>331</v>
      </c>
      <c r="L58" s="90"/>
      <c r="M58" s="50" t="s">
        <v>49</v>
      </c>
      <c r="N58" s="50" t="s">
        <v>286</v>
      </c>
      <c r="O58" s="90"/>
      <c r="P58" s="50" t="s">
        <v>130</v>
      </c>
      <c r="Q58" s="50" t="s">
        <v>279</v>
      </c>
      <c r="R58" s="90"/>
      <c r="S58" s="50" t="s">
        <v>175</v>
      </c>
      <c r="T58" s="50" t="s">
        <v>331</v>
      </c>
      <c r="U58" s="90"/>
      <c r="V58" s="50" t="s">
        <v>250</v>
      </c>
      <c r="W58" s="50" t="s">
        <v>331</v>
      </c>
      <c r="X58" s="90"/>
      <c r="Y58" s="53" t="s">
        <v>56</v>
      </c>
      <c r="Z58" s="53" t="s">
        <v>329</v>
      </c>
      <c r="AA58" s="90"/>
      <c r="AB58" s="50" t="s">
        <v>195</v>
      </c>
      <c r="AC58" s="50" t="s">
        <v>307</v>
      </c>
      <c r="AD58" s="90"/>
      <c r="AE58" s="50" t="s">
        <v>82</v>
      </c>
      <c r="AF58" s="50" t="s">
        <v>291</v>
      </c>
      <c r="AG58" s="90"/>
      <c r="AH58" s="50" t="s">
        <v>213</v>
      </c>
      <c r="AI58" s="50" t="s">
        <v>328</v>
      </c>
      <c r="AJ58" s="90"/>
    </row>
    <row r="59" spans="1:38" ht="21" customHeight="1">
      <c r="A59" s="93"/>
      <c r="B59" s="50"/>
      <c r="C59" s="51" t="s">
        <v>322</v>
      </c>
      <c r="D59" s="89" t="s">
        <v>304</v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</row>
    <row r="60" spans="1:38" ht="21" customHeight="1">
      <c r="A60" s="93"/>
      <c r="B60" s="50">
        <v>6</v>
      </c>
      <c r="C60" s="50" t="s">
        <v>323</v>
      </c>
      <c r="D60" s="50" t="s">
        <v>63</v>
      </c>
      <c r="E60" s="50" t="s">
        <v>288</v>
      </c>
      <c r="F60" s="90">
        <v>13</v>
      </c>
      <c r="G60" s="50" t="s">
        <v>213</v>
      </c>
      <c r="H60" s="50" t="s">
        <v>328</v>
      </c>
      <c r="I60" s="90">
        <v>14</v>
      </c>
      <c r="J60" s="50" t="s">
        <v>152</v>
      </c>
      <c r="K60" s="50" t="s">
        <v>331</v>
      </c>
      <c r="L60" s="91" t="s">
        <v>282</v>
      </c>
      <c r="M60" s="50" t="s">
        <v>49</v>
      </c>
      <c r="N60" s="50" t="s">
        <v>286</v>
      </c>
      <c r="O60" s="90">
        <v>16</v>
      </c>
      <c r="P60" s="50" t="s">
        <v>223</v>
      </c>
      <c r="Q60" s="50" t="s">
        <v>288</v>
      </c>
      <c r="R60" s="90">
        <v>17</v>
      </c>
      <c r="S60" s="50" t="s">
        <v>82</v>
      </c>
      <c r="T60" s="50" t="s">
        <v>291</v>
      </c>
      <c r="U60" s="90">
        <v>10</v>
      </c>
      <c r="V60" s="50" t="s">
        <v>113</v>
      </c>
      <c r="W60" s="50" t="s">
        <v>286</v>
      </c>
      <c r="X60" s="91" t="s">
        <v>312</v>
      </c>
      <c r="Y60" s="53" t="s">
        <v>56</v>
      </c>
      <c r="Z60" s="53" t="s">
        <v>329</v>
      </c>
      <c r="AA60" s="91" t="s">
        <v>330</v>
      </c>
      <c r="AB60" s="50" t="s">
        <v>195</v>
      </c>
      <c r="AC60" s="50" t="s">
        <v>307</v>
      </c>
      <c r="AD60" s="91" t="s">
        <v>313</v>
      </c>
      <c r="AE60" s="50" t="s">
        <v>100</v>
      </c>
      <c r="AF60" s="50" t="s">
        <v>301</v>
      </c>
      <c r="AG60" s="91" t="s">
        <v>332</v>
      </c>
      <c r="AH60" s="50" t="s">
        <v>85</v>
      </c>
      <c r="AI60" s="50" t="s">
        <v>288</v>
      </c>
      <c r="AJ60" s="90">
        <v>15</v>
      </c>
    </row>
    <row r="61" spans="1:38" ht="21" customHeight="1">
      <c r="A61" s="93"/>
      <c r="B61" s="50">
        <v>7</v>
      </c>
      <c r="C61" s="50" t="s">
        <v>324</v>
      </c>
      <c r="D61" s="50" t="s">
        <v>63</v>
      </c>
      <c r="E61" s="50" t="s">
        <v>288</v>
      </c>
      <c r="F61" s="90"/>
      <c r="G61" s="50" t="s">
        <v>213</v>
      </c>
      <c r="H61" s="50" t="s">
        <v>328</v>
      </c>
      <c r="I61" s="90"/>
      <c r="J61" s="50" t="s">
        <v>170</v>
      </c>
      <c r="K61" s="50" t="s">
        <v>306</v>
      </c>
      <c r="L61" s="90"/>
      <c r="M61" s="50" t="s">
        <v>152</v>
      </c>
      <c r="N61" s="50" t="s">
        <v>331</v>
      </c>
      <c r="O61" s="90"/>
      <c r="P61" s="50" t="s">
        <v>223</v>
      </c>
      <c r="Q61" s="50" t="s">
        <v>288</v>
      </c>
      <c r="R61" s="90"/>
      <c r="S61" s="50" t="s">
        <v>195</v>
      </c>
      <c r="T61" s="50" t="s">
        <v>307</v>
      </c>
      <c r="U61" s="90"/>
      <c r="V61" s="50" t="s">
        <v>113</v>
      </c>
      <c r="W61" s="50" t="s">
        <v>286</v>
      </c>
      <c r="X61" s="90"/>
      <c r="Y61" s="53" t="s">
        <v>56</v>
      </c>
      <c r="Z61" s="53" t="s">
        <v>329</v>
      </c>
      <c r="AA61" s="90"/>
      <c r="AB61" s="50" t="s">
        <v>82</v>
      </c>
      <c r="AC61" s="50" t="s">
        <v>291</v>
      </c>
      <c r="AD61" s="90"/>
      <c r="AE61" s="50" t="s">
        <v>100</v>
      </c>
      <c r="AF61" s="50" t="s">
        <v>301</v>
      </c>
      <c r="AG61" s="90"/>
      <c r="AH61" s="50" t="s">
        <v>85</v>
      </c>
      <c r="AI61" s="50" t="s">
        <v>288</v>
      </c>
      <c r="AJ61" s="90"/>
    </row>
    <row r="62" spans="1:38" ht="21.6" customHeight="1">
      <c r="A62" s="93"/>
      <c r="B62" s="50">
        <v>8</v>
      </c>
      <c r="C62" s="50" t="s">
        <v>325</v>
      </c>
      <c r="D62" s="50" t="s">
        <v>63</v>
      </c>
      <c r="E62" s="50" t="s">
        <v>288</v>
      </c>
      <c r="F62" s="90"/>
      <c r="G62" s="50" t="s">
        <v>213</v>
      </c>
      <c r="H62" s="50" t="s">
        <v>328</v>
      </c>
      <c r="I62" s="90"/>
      <c r="J62" s="50" t="s">
        <v>170</v>
      </c>
      <c r="K62" s="50" t="s">
        <v>306</v>
      </c>
      <c r="L62" s="90"/>
      <c r="M62" s="50" t="s">
        <v>152</v>
      </c>
      <c r="N62" s="50" t="s">
        <v>331</v>
      </c>
      <c r="O62" s="90"/>
      <c r="P62" s="50" t="s">
        <v>223</v>
      </c>
      <c r="Q62" s="50" t="s">
        <v>288</v>
      </c>
      <c r="R62" s="90"/>
      <c r="S62" s="50" t="s">
        <v>195</v>
      </c>
      <c r="T62" s="50" t="s">
        <v>307</v>
      </c>
      <c r="U62" s="90"/>
      <c r="V62" s="50" t="s">
        <v>113</v>
      </c>
      <c r="W62" s="50" t="s">
        <v>286</v>
      </c>
      <c r="X62" s="90"/>
      <c r="Y62" s="53" t="s">
        <v>56</v>
      </c>
      <c r="Z62" s="53" t="s">
        <v>329</v>
      </c>
      <c r="AA62" s="90"/>
      <c r="AB62" s="50" t="s">
        <v>82</v>
      </c>
      <c r="AC62" s="50" t="s">
        <v>291</v>
      </c>
      <c r="AD62" s="90"/>
      <c r="AE62" s="50" t="s">
        <v>100</v>
      </c>
      <c r="AF62" s="50" t="s">
        <v>301</v>
      </c>
      <c r="AG62" s="90"/>
      <c r="AH62" s="50" t="s">
        <v>85</v>
      </c>
      <c r="AI62" s="50" t="s">
        <v>288</v>
      </c>
      <c r="AJ62" s="90"/>
    </row>
    <row r="65" spans="3:34">
      <c r="C65" s="32" t="s">
        <v>259</v>
      </c>
      <c r="D65" s="33"/>
      <c r="E65" s="33"/>
      <c r="F65" s="33"/>
      <c r="G65" s="33"/>
      <c r="H65" s="33"/>
      <c r="I65" s="33"/>
      <c r="J65" s="33"/>
      <c r="K65" s="33"/>
      <c r="L65" s="61"/>
      <c r="M65" s="33"/>
      <c r="N65" s="33"/>
      <c r="O65" s="32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2"/>
      <c r="AA65" s="33"/>
      <c r="AB65" s="33"/>
      <c r="AC65" s="33"/>
      <c r="AD65" s="33"/>
      <c r="AE65" s="33"/>
      <c r="AF65" s="33" t="s">
        <v>326</v>
      </c>
      <c r="AG65" s="33"/>
      <c r="AH65" s="33"/>
    </row>
    <row r="66" spans="3:34">
      <c r="C66" s="32" t="s">
        <v>261</v>
      </c>
      <c r="D66" s="32"/>
      <c r="E66" s="33"/>
      <c r="F66" s="33"/>
      <c r="G66" s="61"/>
      <c r="H66" s="33"/>
      <c r="I66" s="33"/>
      <c r="J66" s="33"/>
      <c r="K66" s="33"/>
      <c r="L66" s="61"/>
      <c r="M66" s="33"/>
      <c r="N66" s="33"/>
      <c r="O66" s="32"/>
      <c r="P66" s="33"/>
      <c r="Q66" s="33"/>
      <c r="R66" s="61"/>
      <c r="S66" s="33"/>
      <c r="T66" s="33"/>
      <c r="U66" s="33"/>
      <c r="V66" s="33"/>
      <c r="W66" s="33"/>
      <c r="X66" s="33"/>
      <c r="Y66" s="33"/>
      <c r="Z66" s="32"/>
      <c r="AA66" s="33"/>
      <c r="AB66" s="33"/>
      <c r="AC66" s="61"/>
      <c r="AD66" s="33"/>
      <c r="AE66" s="33"/>
      <c r="AF66" s="33" t="s">
        <v>262</v>
      </c>
      <c r="AG66" s="33"/>
      <c r="AH66" s="33"/>
    </row>
    <row r="67" spans="3:34">
      <c r="C67" s="32"/>
      <c r="D67" s="32"/>
      <c r="E67" s="33"/>
      <c r="F67" s="33"/>
      <c r="G67" s="61"/>
      <c r="H67" s="33"/>
      <c r="I67" s="33"/>
      <c r="J67" s="33"/>
      <c r="K67" s="33"/>
      <c r="L67" s="61"/>
      <c r="M67" s="33"/>
      <c r="N67" s="33"/>
      <c r="O67" s="32"/>
      <c r="P67" s="33"/>
      <c r="Q67" s="33"/>
      <c r="R67" s="61"/>
      <c r="S67" s="33"/>
      <c r="T67" s="33"/>
      <c r="U67" s="33"/>
      <c r="V67" s="33"/>
      <c r="W67" s="33"/>
      <c r="X67" s="33"/>
      <c r="Y67" s="33"/>
      <c r="Z67" s="32"/>
      <c r="AA67" s="33"/>
      <c r="AB67" s="33"/>
      <c r="AC67" s="61"/>
      <c r="AD67" s="33"/>
      <c r="AE67" s="33"/>
      <c r="AF67" s="33"/>
      <c r="AG67" s="33"/>
      <c r="AH67" s="33"/>
    </row>
    <row r="68" spans="3:34">
      <c r="C68" s="32"/>
      <c r="D68" s="32"/>
      <c r="E68" s="33"/>
      <c r="F68" s="33"/>
      <c r="G68" s="61"/>
      <c r="H68" s="33"/>
      <c r="I68" s="33"/>
      <c r="J68" s="33"/>
      <c r="K68" s="33"/>
      <c r="L68" s="61"/>
      <c r="M68" s="33"/>
      <c r="N68" s="33"/>
      <c r="O68" s="32"/>
      <c r="P68" s="33"/>
      <c r="Q68" s="33"/>
      <c r="R68" s="61"/>
      <c r="S68" s="33"/>
      <c r="T68" s="33"/>
      <c r="U68" s="33"/>
      <c r="V68" s="33"/>
      <c r="W68" s="33"/>
      <c r="X68" s="33"/>
      <c r="Y68" s="33"/>
      <c r="Z68" s="32"/>
      <c r="AA68" s="33"/>
      <c r="AB68" s="33"/>
      <c r="AC68" s="61"/>
      <c r="AD68" s="33"/>
      <c r="AE68" s="33"/>
      <c r="AF68" s="33"/>
      <c r="AG68" s="33"/>
      <c r="AH68" s="33"/>
    </row>
    <row r="69" spans="3:34">
      <c r="C69" s="32"/>
      <c r="D69" s="32"/>
      <c r="E69" s="33"/>
      <c r="F69" s="33"/>
      <c r="G69" s="61"/>
      <c r="H69" s="33"/>
      <c r="I69" s="33"/>
      <c r="J69" s="33"/>
      <c r="K69" s="33"/>
      <c r="L69" s="61"/>
      <c r="M69" s="33"/>
      <c r="N69" s="33"/>
      <c r="O69" s="32"/>
      <c r="P69" s="33"/>
      <c r="Q69" s="33"/>
      <c r="R69" s="61"/>
      <c r="S69" s="33"/>
      <c r="T69" s="33"/>
      <c r="U69" s="33"/>
      <c r="V69" s="33"/>
      <c r="W69" s="33"/>
      <c r="X69" s="33"/>
      <c r="Y69" s="33"/>
      <c r="Z69" s="32"/>
      <c r="AA69" s="33"/>
      <c r="AB69" s="33"/>
      <c r="AC69" s="61"/>
      <c r="AD69" s="33"/>
      <c r="AE69" s="33"/>
      <c r="AF69" s="33"/>
      <c r="AG69" s="33"/>
      <c r="AH69" s="33"/>
    </row>
    <row r="70" spans="3:34">
      <c r="C70" s="34" t="s">
        <v>263</v>
      </c>
      <c r="D70" s="32"/>
      <c r="E70" s="33"/>
      <c r="F70" s="33"/>
      <c r="G70" s="61"/>
      <c r="H70" s="35"/>
      <c r="I70" s="33"/>
      <c r="J70" s="33"/>
      <c r="K70" s="33"/>
      <c r="L70" s="61"/>
      <c r="M70" s="33"/>
      <c r="N70" s="33"/>
      <c r="O70" s="32"/>
      <c r="P70" s="33"/>
      <c r="Q70" s="33"/>
      <c r="R70" s="61"/>
      <c r="S70" s="35"/>
      <c r="T70" s="33"/>
      <c r="U70" s="33"/>
      <c r="V70" s="33"/>
      <c r="W70" s="36"/>
      <c r="X70" s="36"/>
      <c r="Y70" s="33"/>
      <c r="Z70" s="32"/>
      <c r="AA70" s="33"/>
      <c r="AB70" s="33"/>
      <c r="AC70" s="61"/>
      <c r="AD70" s="35"/>
      <c r="AE70" s="33"/>
      <c r="AF70" s="36" t="s">
        <v>264</v>
      </c>
      <c r="AG70" s="33"/>
      <c r="AH70" s="36"/>
    </row>
    <row r="71" spans="3:34">
      <c r="C71" s="32" t="s">
        <v>265</v>
      </c>
      <c r="D71" s="37"/>
      <c r="E71" s="33"/>
      <c r="F71" s="33"/>
      <c r="G71" s="61"/>
      <c r="H71" s="33"/>
      <c r="I71" s="33"/>
      <c r="J71" s="33"/>
      <c r="K71" s="33"/>
      <c r="L71" s="61"/>
      <c r="M71" s="33"/>
      <c r="N71" s="33"/>
      <c r="O71" s="32"/>
      <c r="P71" s="33"/>
      <c r="Q71" s="33"/>
      <c r="R71" s="61"/>
      <c r="S71" s="33"/>
      <c r="T71" s="33"/>
      <c r="U71" s="33"/>
      <c r="V71" s="33"/>
      <c r="W71" s="33"/>
      <c r="X71" s="33"/>
      <c r="Y71" s="33"/>
      <c r="Z71" s="32"/>
      <c r="AA71" s="33"/>
      <c r="AB71" s="33"/>
      <c r="AC71" s="61"/>
      <c r="AD71" s="33"/>
      <c r="AE71" s="33"/>
      <c r="AF71" s="33" t="s">
        <v>36</v>
      </c>
      <c r="AG71" s="33"/>
      <c r="AH71" s="33"/>
    </row>
  </sheetData>
  <mergeCells count="182">
    <mergeCell ref="AG57:AG58"/>
    <mergeCell ref="AG60:AG62"/>
    <mergeCell ref="AJ9:AJ11"/>
    <mergeCell ref="AJ13:AJ14"/>
    <mergeCell ref="AJ16:AJ18"/>
    <mergeCell ref="AJ20:AJ22"/>
    <mergeCell ref="AJ27:AJ29"/>
    <mergeCell ref="AJ31:AJ33"/>
    <mergeCell ref="AJ35:AJ36"/>
    <mergeCell ref="AJ38:AJ40"/>
    <mergeCell ref="AJ42:AJ44"/>
    <mergeCell ref="AJ46:AJ47"/>
    <mergeCell ref="AJ49:AJ51"/>
    <mergeCell ref="AJ53:AJ55"/>
    <mergeCell ref="AJ57:AJ58"/>
    <mergeCell ref="AJ60:AJ62"/>
    <mergeCell ref="AG20:AG22"/>
    <mergeCell ref="AG27:AG29"/>
    <mergeCell ref="AG31:AG33"/>
    <mergeCell ref="AG35:AG36"/>
    <mergeCell ref="AG38:AG40"/>
    <mergeCell ref="AG42:AG44"/>
    <mergeCell ref="AG46:AG47"/>
    <mergeCell ref="AG49:AG51"/>
    <mergeCell ref="AG53:AG55"/>
    <mergeCell ref="AA57:AA58"/>
    <mergeCell ref="AA60:AA62"/>
    <mergeCell ref="AD9:AD11"/>
    <mergeCell ref="AD13:AD14"/>
    <mergeCell ref="AD16:AD18"/>
    <mergeCell ref="AD20:AD22"/>
    <mergeCell ref="AD27:AD29"/>
    <mergeCell ref="AD31:AD33"/>
    <mergeCell ref="AD35:AD36"/>
    <mergeCell ref="AD38:AD40"/>
    <mergeCell ref="AD42:AD44"/>
    <mergeCell ref="AD46:AD47"/>
    <mergeCell ref="AD49:AD51"/>
    <mergeCell ref="AD53:AD55"/>
    <mergeCell ref="AD57:AD58"/>
    <mergeCell ref="AD60:AD62"/>
    <mergeCell ref="AA20:AA22"/>
    <mergeCell ref="AA24:AA25"/>
    <mergeCell ref="AA27:AA29"/>
    <mergeCell ref="AA31:AA33"/>
    <mergeCell ref="AA35:AA36"/>
    <mergeCell ref="AA38:AA40"/>
    <mergeCell ref="AA42:AA44"/>
    <mergeCell ref="AA49:AA51"/>
    <mergeCell ref="AA53:AA55"/>
    <mergeCell ref="U57:U58"/>
    <mergeCell ref="U60:U62"/>
    <mergeCell ref="X9:X11"/>
    <mergeCell ref="X13:X14"/>
    <mergeCell ref="X16:X18"/>
    <mergeCell ref="X20:X22"/>
    <mergeCell ref="X24:X25"/>
    <mergeCell ref="X27:X29"/>
    <mergeCell ref="X31:X33"/>
    <mergeCell ref="X35:X36"/>
    <mergeCell ref="X38:X40"/>
    <mergeCell ref="X42:X44"/>
    <mergeCell ref="X49:X51"/>
    <mergeCell ref="X53:X55"/>
    <mergeCell ref="X57:X58"/>
    <mergeCell ref="X60:X62"/>
    <mergeCell ref="U20:U22"/>
    <mergeCell ref="U24:U25"/>
    <mergeCell ref="U27:U29"/>
    <mergeCell ref="U31:U33"/>
    <mergeCell ref="U35:U36"/>
    <mergeCell ref="U38:U40"/>
    <mergeCell ref="U42:U44"/>
    <mergeCell ref="U49:U51"/>
    <mergeCell ref="U53:U55"/>
    <mergeCell ref="O57:O58"/>
    <mergeCell ref="O60:O62"/>
    <mergeCell ref="R9:R11"/>
    <mergeCell ref="R13:R14"/>
    <mergeCell ref="R16:R18"/>
    <mergeCell ref="R20:R22"/>
    <mergeCell ref="R24:R25"/>
    <mergeCell ref="R27:R29"/>
    <mergeCell ref="R31:R33"/>
    <mergeCell ref="R35:R36"/>
    <mergeCell ref="R38:R40"/>
    <mergeCell ref="R42:R44"/>
    <mergeCell ref="R49:R51"/>
    <mergeCell ref="R53:R55"/>
    <mergeCell ref="R57:R58"/>
    <mergeCell ref="R60:R62"/>
    <mergeCell ref="O20:O22"/>
    <mergeCell ref="O24:O25"/>
    <mergeCell ref="O27:O29"/>
    <mergeCell ref="O31:O33"/>
    <mergeCell ref="O35:O36"/>
    <mergeCell ref="O53:O55"/>
    <mergeCell ref="I57:I58"/>
    <mergeCell ref="I60:I62"/>
    <mergeCell ref="L9:L11"/>
    <mergeCell ref="L13:L14"/>
    <mergeCell ref="L16:L18"/>
    <mergeCell ref="L20:L22"/>
    <mergeCell ref="L24:L25"/>
    <mergeCell ref="L27:L29"/>
    <mergeCell ref="L31:L33"/>
    <mergeCell ref="L35:L36"/>
    <mergeCell ref="L38:L40"/>
    <mergeCell ref="L42:L44"/>
    <mergeCell ref="L49:L51"/>
    <mergeCell ref="L53:L55"/>
    <mergeCell ref="L57:L58"/>
    <mergeCell ref="L60:L62"/>
    <mergeCell ref="I20:I22"/>
    <mergeCell ref="I24:I25"/>
    <mergeCell ref="I27:I29"/>
    <mergeCell ref="I31:I33"/>
    <mergeCell ref="A6:A7"/>
    <mergeCell ref="A8:A18"/>
    <mergeCell ref="A19:A29"/>
    <mergeCell ref="A30:A40"/>
    <mergeCell ref="A41:A51"/>
    <mergeCell ref="A52:A62"/>
    <mergeCell ref="B6:B7"/>
    <mergeCell ref="C6:C7"/>
    <mergeCell ref="F9:F11"/>
    <mergeCell ref="F13:F14"/>
    <mergeCell ref="F16:F18"/>
    <mergeCell ref="F20:F22"/>
    <mergeCell ref="F24:F25"/>
    <mergeCell ref="F27:F29"/>
    <mergeCell ref="F31:F33"/>
    <mergeCell ref="F38:F40"/>
    <mergeCell ref="F42:F44"/>
    <mergeCell ref="F46:F47"/>
    <mergeCell ref="F49:F51"/>
    <mergeCell ref="F53:F55"/>
    <mergeCell ref="F57:F58"/>
    <mergeCell ref="F60:F62"/>
    <mergeCell ref="D23:AJ23"/>
    <mergeCell ref="D26:AJ26"/>
    <mergeCell ref="D30:AJ30"/>
    <mergeCell ref="D34:AJ34"/>
    <mergeCell ref="D37:AJ37"/>
    <mergeCell ref="D41:AJ41"/>
    <mergeCell ref="D45:AJ45"/>
    <mergeCell ref="D48:AJ48"/>
    <mergeCell ref="D52:AJ52"/>
    <mergeCell ref="I38:I40"/>
    <mergeCell ref="I42:I44"/>
    <mergeCell ref="I46:I47"/>
    <mergeCell ref="I49:I51"/>
    <mergeCell ref="I53:I55"/>
    <mergeCell ref="D56:AJ56"/>
    <mergeCell ref="D59:AJ59"/>
    <mergeCell ref="O38:O40"/>
    <mergeCell ref="O42:O44"/>
    <mergeCell ref="O49:O51"/>
    <mergeCell ref="A1:AJ1"/>
    <mergeCell ref="A2:AJ2"/>
    <mergeCell ref="A3:AJ3"/>
    <mergeCell ref="A4:AJ4"/>
    <mergeCell ref="D6:AJ6"/>
    <mergeCell ref="D8:AJ8"/>
    <mergeCell ref="D12:AJ12"/>
    <mergeCell ref="D15:AJ15"/>
    <mergeCell ref="D19:AJ19"/>
    <mergeCell ref="I9:I11"/>
    <mergeCell ref="I13:I14"/>
    <mergeCell ref="I16:I18"/>
    <mergeCell ref="O9:O11"/>
    <mergeCell ref="O13:O14"/>
    <mergeCell ref="O16:O18"/>
    <mergeCell ref="U9:U11"/>
    <mergeCell ref="U13:U14"/>
    <mergeCell ref="U16:U18"/>
    <mergeCell ref="AA9:AA11"/>
    <mergeCell ref="AA13:AA14"/>
    <mergeCell ref="AA16:AA18"/>
    <mergeCell ref="AG9:AG11"/>
    <mergeCell ref="AG13:AG14"/>
    <mergeCell ref="AG16:AG18"/>
  </mergeCells>
  <pageMargins left="0.35" right="1.36" top="0.48" bottom="0.52" header="0.31496062992126" footer="0.31496062992126"/>
  <pageSetup paperSize="5" scale="62" fitToHeight="0" orientation="landscape" r:id="rId1"/>
  <rowBreaks count="1" manualBreakCount="1">
    <brk id="40" max="3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5"/>
  <sheetViews>
    <sheetView tabSelected="1" view="pageBreakPreview" zoomScale="115" zoomScaleNormal="78" zoomScaleSheetLayoutView="115" workbookViewId="0">
      <pane xSplit="1" ySplit="7" topLeftCell="B8" activePane="bottomRight" state="frozen"/>
      <selection pane="topRight"/>
      <selection pane="bottomLeft"/>
      <selection pane="bottomRight" activeCell="B20" sqref="B20:B21"/>
    </sheetView>
  </sheetViews>
  <sheetFormatPr defaultColWidth="9" defaultRowHeight="15"/>
  <cols>
    <col min="1" max="1" width="5.42578125" customWidth="1"/>
    <col min="2" max="2" width="34.5703125" customWidth="1"/>
    <col min="3" max="3" width="24" customWidth="1"/>
    <col min="4" max="4" width="9.42578125" customWidth="1"/>
    <col min="5" max="5" width="6.5703125" customWidth="1"/>
    <col min="6" max="7" width="7.140625" customWidth="1"/>
    <col min="8" max="8" width="7.5703125" customWidth="1"/>
    <col min="9" max="9" width="8.140625" customWidth="1"/>
    <col min="10" max="10" width="8.5703125" customWidth="1"/>
    <col min="11" max="11" width="7.85546875" customWidth="1"/>
    <col min="12" max="12" width="8.42578125" customWidth="1"/>
    <col min="13" max="13" width="7.85546875" customWidth="1"/>
    <col min="14" max="14" width="8.42578125" customWidth="1"/>
    <col min="15" max="15" width="6.85546875" customWidth="1"/>
    <col min="16" max="16" width="12.42578125" customWidth="1"/>
    <col min="17" max="17" width="9" customWidth="1"/>
  </cols>
  <sheetData>
    <row r="1" spans="1:17" ht="15.75">
      <c r="A1" s="145" t="s">
        <v>338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</row>
    <row r="2" spans="1:17" ht="15.7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</row>
    <row r="3" spans="1:17" ht="15.75">
      <c r="A3" s="145" t="s">
        <v>2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</row>
    <row r="5" spans="1:17" ht="14.45" customHeight="1">
      <c r="A5" s="107" t="s">
        <v>4</v>
      </c>
      <c r="B5" s="107" t="s">
        <v>5</v>
      </c>
      <c r="C5" s="107" t="s">
        <v>6</v>
      </c>
      <c r="D5" s="146" t="s">
        <v>7</v>
      </c>
      <c r="E5" s="96" t="s">
        <v>339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125" t="s">
        <v>9</v>
      </c>
      <c r="Q5" s="125" t="s">
        <v>340</v>
      </c>
    </row>
    <row r="6" spans="1:17">
      <c r="A6" s="107"/>
      <c r="B6" s="107"/>
      <c r="C6" s="107"/>
      <c r="D6" s="147"/>
      <c r="E6" s="8" t="s">
        <v>16</v>
      </c>
      <c r="F6" s="9" t="s">
        <v>17</v>
      </c>
      <c r="G6" s="9" t="s">
        <v>18</v>
      </c>
      <c r="H6" s="9" t="s">
        <v>19</v>
      </c>
      <c r="I6" s="9" t="s">
        <v>20</v>
      </c>
      <c r="J6" s="9" t="s">
        <v>21</v>
      </c>
      <c r="K6" s="9" t="s">
        <v>22</v>
      </c>
      <c r="L6" s="9" t="s">
        <v>23</v>
      </c>
      <c r="M6" s="9" t="s">
        <v>24</v>
      </c>
      <c r="N6" s="9" t="s">
        <v>25</v>
      </c>
      <c r="O6" s="10" t="s">
        <v>26</v>
      </c>
      <c r="P6" s="126"/>
      <c r="Q6" s="126"/>
    </row>
    <row r="7" spans="1:17">
      <c r="A7" s="107"/>
      <c r="B7" s="107"/>
      <c r="C7" s="107"/>
      <c r="D7" s="148"/>
      <c r="E7" s="11">
        <v>35</v>
      </c>
      <c r="F7" s="12">
        <v>35</v>
      </c>
      <c r="G7" s="12">
        <v>33</v>
      </c>
      <c r="H7" s="12">
        <v>34</v>
      </c>
      <c r="I7" s="12">
        <v>34</v>
      </c>
      <c r="J7" s="12">
        <v>30</v>
      </c>
      <c r="K7" s="12">
        <v>34</v>
      </c>
      <c r="L7" s="12">
        <v>33</v>
      </c>
      <c r="M7" s="12">
        <v>33</v>
      </c>
      <c r="N7" s="12">
        <v>34</v>
      </c>
      <c r="O7" s="13">
        <v>34</v>
      </c>
      <c r="P7" s="127"/>
      <c r="Q7" s="127"/>
    </row>
    <row r="8" spans="1:17">
      <c r="A8" s="108">
        <v>1</v>
      </c>
      <c r="B8" s="15" t="s">
        <v>37</v>
      </c>
      <c r="C8" s="115" t="s">
        <v>41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>
        <v>24</v>
      </c>
      <c r="P8" s="123">
        <f>SUM(E8:O9)</f>
        <v>24</v>
      </c>
      <c r="Q8" s="149">
        <f>(P8/46)*O7</f>
        <v>17.739130434782599</v>
      </c>
    </row>
    <row r="9" spans="1:17">
      <c r="A9" s="108"/>
      <c r="B9" s="18" t="s">
        <v>40</v>
      </c>
      <c r="C9" s="116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4"/>
      <c r="Q9" s="150"/>
    </row>
    <row r="10" spans="1:17">
      <c r="A10" s="108">
        <v>2</v>
      </c>
      <c r="B10" s="15" t="s">
        <v>43</v>
      </c>
      <c r="C10" s="115" t="s">
        <v>41</v>
      </c>
      <c r="D10" s="120"/>
      <c r="E10" s="120"/>
      <c r="F10" s="120">
        <v>16</v>
      </c>
      <c r="G10" s="120"/>
      <c r="H10" s="120"/>
      <c r="I10" s="120"/>
      <c r="J10" s="120"/>
      <c r="K10" s="120"/>
      <c r="L10" s="120"/>
      <c r="M10" s="120"/>
      <c r="N10" s="120"/>
      <c r="O10" s="120"/>
      <c r="P10" s="123">
        <f>SUM(E10:O11)</f>
        <v>16</v>
      </c>
      <c r="Q10" s="149">
        <f>(P10/46)*$F$7</f>
        <v>12.173913043478301</v>
      </c>
    </row>
    <row r="11" spans="1:17">
      <c r="A11" s="108"/>
      <c r="B11" s="19" t="s">
        <v>46</v>
      </c>
      <c r="C11" s="116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4"/>
      <c r="Q11" s="150"/>
    </row>
    <row r="12" spans="1:17">
      <c r="A12" s="108">
        <v>3</v>
      </c>
      <c r="B12" s="15" t="s">
        <v>61</v>
      </c>
      <c r="C12" s="115" t="s">
        <v>41</v>
      </c>
      <c r="D12" s="120"/>
      <c r="E12" s="120"/>
      <c r="F12" s="120"/>
      <c r="G12" s="120"/>
      <c r="H12" s="120">
        <v>12</v>
      </c>
      <c r="I12" s="120"/>
      <c r="J12" s="120"/>
      <c r="K12" s="120"/>
      <c r="L12" s="120"/>
      <c r="M12" s="120"/>
      <c r="N12" s="120"/>
      <c r="O12" s="120"/>
      <c r="P12" s="123">
        <f>SUM(E12:O13)</f>
        <v>12</v>
      </c>
      <c r="Q12" s="149">
        <f>(P12/46)*H7</f>
        <v>8.8695652173912993</v>
      </c>
    </row>
    <row r="13" spans="1:17">
      <c r="A13" s="108"/>
      <c r="B13" s="20" t="s">
        <v>64</v>
      </c>
      <c r="C13" s="116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4"/>
      <c r="Q13" s="150"/>
    </row>
    <row r="14" spans="1:17">
      <c r="A14" s="108">
        <v>4</v>
      </c>
      <c r="B14" s="21" t="s">
        <v>70</v>
      </c>
      <c r="C14" s="115" t="s">
        <v>41</v>
      </c>
      <c r="D14" s="120"/>
      <c r="E14" s="120"/>
      <c r="F14" s="120"/>
      <c r="G14" s="120"/>
      <c r="H14" s="120"/>
      <c r="I14" s="120"/>
      <c r="J14" s="120"/>
      <c r="K14" s="120"/>
      <c r="L14" s="120">
        <v>22</v>
      </c>
      <c r="M14" s="120"/>
      <c r="N14" s="120"/>
      <c r="O14" s="120"/>
      <c r="P14" s="123">
        <f>SUM(E14:O15)</f>
        <v>22</v>
      </c>
      <c r="Q14" s="149">
        <f>(P14/46)*L7</f>
        <v>15.7826086956522</v>
      </c>
    </row>
    <row r="15" spans="1:17">
      <c r="A15" s="108"/>
      <c r="B15" s="22" t="s">
        <v>73</v>
      </c>
      <c r="C15" s="116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4"/>
      <c r="Q15" s="151"/>
    </row>
    <row r="16" spans="1:17">
      <c r="A16" s="108">
        <v>5</v>
      </c>
      <c r="B16" s="15" t="s">
        <v>84</v>
      </c>
      <c r="C16" s="115" t="s">
        <v>41</v>
      </c>
      <c r="D16" s="120"/>
      <c r="E16" s="120"/>
      <c r="F16" s="120"/>
      <c r="G16" s="120"/>
      <c r="H16" s="120"/>
      <c r="I16" s="120"/>
      <c r="J16" s="120"/>
      <c r="K16" s="120"/>
      <c r="L16" s="120"/>
      <c r="M16" s="120">
        <v>21</v>
      </c>
      <c r="N16" s="120"/>
      <c r="O16" s="120"/>
      <c r="P16" s="123">
        <f>SUM(E16:O17)</f>
        <v>21</v>
      </c>
      <c r="Q16" s="152">
        <f>(P16/46)*M7</f>
        <v>15.0652173913043</v>
      </c>
    </row>
    <row r="17" spans="1:17">
      <c r="A17" s="108"/>
      <c r="B17" s="20" t="s">
        <v>86</v>
      </c>
      <c r="C17" s="116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4"/>
      <c r="Q17" s="152"/>
    </row>
    <row r="18" spans="1:17">
      <c r="A18" s="108">
        <v>6</v>
      </c>
      <c r="B18" s="15" t="s">
        <v>91</v>
      </c>
      <c r="C18" s="115" t="s">
        <v>41</v>
      </c>
      <c r="D18" s="120"/>
      <c r="E18" s="109"/>
      <c r="F18" s="109"/>
      <c r="G18" s="109"/>
      <c r="H18" s="109"/>
      <c r="I18" s="120"/>
      <c r="J18" s="120"/>
      <c r="K18" s="109">
        <v>26</v>
      </c>
      <c r="L18" s="109"/>
      <c r="M18" s="120"/>
      <c r="N18" s="120"/>
      <c r="O18" s="120"/>
      <c r="P18" s="123">
        <f>SUM(E18:O19)</f>
        <v>26</v>
      </c>
      <c r="Q18" s="149">
        <f>(P18/46)*K7</f>
        <v>19.2173913043478</v>
      </c>
    </row>
    <row r="19" spans="1:17">
      <c r="A19" s="108"/>
      <c r="B19" s="20" t="s">
        <v>93</v>
      </c>
      <c r="C19" s="116"/>
      <c r="D19" s="121"/>
      <c r="E19" s="110"/>
      <c r="F19" s="110"/>
      <c r="G19" s="110"/>
      <c r="H19" s="110"/>
      <c r="I19" s="121"/>
      <c r="J19" s="121"/>
      <c r="K19" s="110"/>
      <c r="L19" s="110"/>
      <c r="M19" s="121"/>
      <c r="N19" s="121"/>
      <c r="O19" s="121"/>
      <c r="P19" s="124"/>
      <c r="Q19" s="150"/>
    </row>
    <row r="20" spans="1:17">
      <c r="A20" s="108">
        <v>7</v>
      </c>
      <c r="B20" s="15" t="s">
        <v>98</v>
      </c>
      <c r="C20" s="115" t="s">
        <v>41</v>
      </c>
      <c r="D20" s="120"/>
      <c r="E20" s="120"/>
      <c r="F20" s="120"/>
      <c r="G20" s="120"/>
      <c r="H20" s="120">
        <v>12</v>
      </c>
      <c r="I20" s="109"/>
      <c r="J20" s="109"/>
      <c r="K20" s="109"/>
      <c r="L20" s="109"/>
      <c r="M20" s="120"/>
      <c r="N20" s="120"/>
      <c r="O20" s="120"/>
      <c r="P20" s="123">
        <f>SUM(E20:O21)</f>
        <v>12</v>
      </c>
      <c r="Q20" s="149">
        <f>(P20/46)*H7</f>
        <v>8.8695652173912993</v>
      </c>
    </row>
    <row r="21" spans="1:17">
      <c r="A21" s="108"/>
      <c r="B21" s="18" t="s">
        <v>101</v>
      </c>
      <c r="C21" s="116"/>
      <c r="D21" s="121"/>
      <c r="E21" s="121"/>
      <c r="F21" s="121"/>
      <c r="G21" s="121"/>
      <c r="H21" s="121"/>
      <c r="I21" s="110"/>
      <c r="J21" s="110"/>
      <c r="K21" s="110"/>
      <c r="L21" s="110"/>
      <c r="M21" s="121"/>
      <c r="N21" s="121"/>
      <c r="O21" s="121"/>
      <c r="P21" s="124"/>
      <c r="Q21" s="150"/>
    </row>
    <row r="22" spans="1:17">
      <c r="A22" s="108">
        <v>8</v>
      </c>
      <c r="B22" s="15" t="s">
        <v>103</v>
      </c>
      <c r="C22" s="115" t="s">
        <v>41</v>
      </c>
      <c r="D22" s="120"/>
      <c r="E22" s="109">
        <v>26</v>
      </c>
      <c r="F22" s="109"/>
      <c r="G22" s="109"/>
      <c r="H22" s="109"/>
      <c r="I22" s="120"/>
      <c r="J22" s="120"/>
      <c r="K22" s="120"/>
      <c r="L22" s="120"/>
      <c r="M22" s="109"/>
      <c r="N22" s="109"/>
      <c r="O22" s="109"/>
      <c r="P22" s="123">
        <f>SUM(E22:O23)</f>
        <v>26</v>
      </c>
      <c r="Q22" s="149">
        <f>(P22/46)*E7</f>
        <v>19.7826086956522</v>
      </c>
    </row>
    <row r="23" spans="1:17">
      <c r="A23" s="108"/>
      <c r="B23" s="23" t="s">
        <v>105</v>
      </c>
      <c r="C23" s="116"/>
      <c r="D23" s="121"/>
      <c r="E23" s="110"/>
      <c r="F23" s="110"/>
      <c r="G23" s="110"/>
      <c r="H23" s="110"/>
      <c r="I23" s="121"/>
      <c r="J23" s="121"/>
      <c r="K23" s="121"/>
      <c r="L23" s="121"/>
      <c r="M23" s="110"/>
      <c r="N23" s="110"/>
      <c r="O23" s="110"/>
      <c r="P23" s="124"/>
      <c r="Q23" s="150"/>
    </row>
    <row r="24" spans="1:17">
      <c r="A24" s="108">
        <v>9</v>
      </c>
      <c r="B24" s="15" t="s">
        <v>107</v>
      </c>
      <c r="C24" s="115" t="s">
        <v>41</v>
      </c>
      <c r="D24" s="120"/>
      <c r="E24" s="120"/>
      <c r="F24" s="120">
        <v>16</v>
      </c>
      <c r="G24" s="120"/>
      <c r="H24" s="120"/>
      <c r="I24" s="120"/>
      <c r="J24" s="120"/>
      <c r="K24" s="120"/>
      <c r="L24" s="120"/>
      <c r="M24" s="120"/>
      <c r="N24" s="120"/>
      <c r="O24" s="120"/>
      <c r="P24" s="123">
        <f>SUM(E24:O25)</f>
        <v>16</v>
      </c>
      <c r="Q24" s="149">
        <f>(P24/46)*F7</f>
        <v>12.173913043478301</v>
      </c>
    </row>
    <row r="25" spans="1:17">
      <c r="A25" s="108"/>
      <c r="B25" s="20" t="s">
        <v>110</v>
      </c>
      <c r="C25" s="116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4"/>
      <c r="Q25" s="150"/>
    </row>
    <row r="26" spans="1:17">
      <c r="A26" s="108">
        <v>10</v>
      </c>
      <c r="B26" s="15" t="s">
        <v>112</v>
      </c>
      <c r="C26" s="115" t="s">
        <v>41</v>
      </c>
      <c r="D26" s="120"/>
      <c r="E26" s="120"/>
      <c r="F26" s="120"/>
      <c r="G26" s="120"/>
      <c r="H26" s="120"/>
      <c r="I26" s="120">
        <v>14</v>
      </c>
      <c r="J26" s="120"/>
      <c r="K26" s="120"/>
      <c r="L26" s="120"/>
      <c r="M26" s="120"/>
      <c r="N26" s="120"/>
      <c r="O26" s="120"/>
      <c r="P26" s="123">
        <f>SUM(E26:O27)</f>
        <v>14</v>
      </c>
      <c r="Q26" s="149">
        <f>(P26/46)*I7</f>
        <v>10.3478260869565</v>
      </c>
    </row>
    <row r="27" spans="1:17">
      <c r="A27" s="108"/>
      <c r="B27" s="23" t="s">
        <v>114</v>
      </c>
      <c r="C27" s="116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4"/>
      <c r="Q27" s="150"/>
    </row>
    <row r="28" spans="1:17">
      <c r="A28" s="108">
        <v>11</v>
      </c>
      <c r="B28" s="21" t="s">
        <v>116</v>
      </c>
      <c r="C28" s="115" t="s">
        <v>41</v>
      </c>
      <c r="D28" s="120"/>
      <c r="E28" s="120">
        <v>20</v>
      </c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3">
        <f>SUM(E28:O29)</f>
        <v>20</v>
      </c>
      <c r="Q28" s="149">
        <f>(P28/46)*E7</f>
        <v>15.2173913043478</v>
      </c>
    </row>
    <row r="29" spans="1:17">
      <c r="A29" s="108"/>
      <c r="B29" s="23" t="s">
        <v>118</v>
      </c>
      <c r="C29" s="116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4"/>
      <c r="Q29" s="150"/>
    </row>
    <row r="30" spans="1:17">
      <c r="A30" s="108">
        <v>12</v>
      </c>
      <c r="B30" s="15" t="s">
        <v>122</v>
      </c>
      <c r="C30" s="115" t="s">
        <v>41</v>
      </c>
      <c r="D30" s="120"/>
      <c r="E30" s="120"/>
      <c r="F30" s="120"/>
      <c r="G30" s="120"/>
      <c r="H30" s="120"/>
      <c r="I30" s="120"/>
      <c r="J30" s="120"/>
      <c r="K30" s="120"/>
      <c r="L30" s="120"/>
      <c r="M30" s="120">
        <v>19</v>
      </c>
      <c r="N30" s="120"/>
      <c r="O30" s="120"/>
      <c r="P30" s="123">
        <f>SUM(E30:O31)</f>
        <v>19</v>
      </c>
      <c r="Q30" s="149">
        <f>(P30/46)*M7</f>
        <v>13.630434782608701</v>
      </c>
    </row>
    <row r="31" spans="1:17">
      <c r="A31" s="108"/>
      <c r="B31" s="23" t="s">
        <v>124</v>
      </c>
      <c r="C31" s="116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4"/>
      <c r="Q31" s="150"/>
    </row>
    <row r="32" spans="1:17">
      <c r="A32" s="108">
        <v>13</v>
      </c>
      <c r="B32" s="15" t="s">
        <v>126</v>
      </c>
      <c r="C32" s="115" t="s">
        <v>41</v>
      </c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>
        <v>24</v>
      </c>
      <c r="O32" s="120"/>
      <c r="P32" s="128">
        <f>SUM(E32:O33)</f>
        <v>24</v>
      </c>
      <c r="Q32" s="149">
        <f>(P32/46)*N7</f>
        <v>17.739130434782599</v>
      </c>
    </row>
    <row r="33" spans="1:17">
      <c r="A33" s="108"/>
      <c r="B33" s="23" t="s">
        <v>128</v>
      </c>
      <c r="C33" s="116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8"/>
      <c r="Q33" s="150"/>
    </row>
    <row r="34" spans="1:17">
      <c r="A34" s="108">
        <v>14</v>
      </c>
      <c r="B34" s="21" t="s">
        <v>140</v>
      </c>
      <c r="C34" s="115" t="s">
        <v>41</v>
      </c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>
        <v>22</v>
      </c>
      <c r="P34" s="123">
        <f>SUM(E34:O35)</f>
        <v>22</v>
      </c>
      <c r="Q34" s="149">
        <f>(P34/46)*O7</f>
        <v>16.260869565217401</v>
      </c>
    </row>
    <row r="35" spans="1:17">
      <c r="A35" s="108"/>
      <c r="B35" s="23" t="s">
        <v>142</v>
      </c>
      <c r="C35" s="116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4"/>
      <c r="Q35" s="150"/>
    </row>
    <row r="36" spans="1:17">
      <c r="A36" s="108">
        <v>15</v>
      </c>
      <c r="B36" s="25" t="s">
        <v>147</v>
      </c>
      <c r="C36" s="115" t="s">
        <v>41</v>
      </c>
      <c r="D36" s="120"/>
      <c r="E36" s="120"/>
      <c r="F36" s="120"/>
      <c r="G36" s="120"/>
      <c r="H36" s="120"/>
      <c r="I36" s="120"/>
      <c r="J36" s="120"/>
      <c r="K36" s="120"/>
      <c r="L36" s="120"/>
      <c r="M36" s="120">
        <v>6</v>
      </c>
      <c r="N36" s="120"/>
      <c r="O36" s="120"/>
      <c r="P36" s="123">
        <f>SUM(E36:O37)</f>
        <v>6</v>
      </c>
      <c r="Q36" s="149">
        <f>(P36/46)*M7</f>
        <v>4.3043478260869596</v>
      </c>
    </row>
    <row r="37" spans="1:17">
      <c r="A37" s="108"/>
      <c r="B37" s="22" t="s">
        <v>149</v>
      </c>
      <c r="C37" s="116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4"/>
      <c r="Q37" s="150"/>
    </row>
    <row r="38" spans="1:17">
      <c r="A38" s="108">
        <v>16</v>
      </c>
      <c r="B38" s="15" t="s">
        <v>151</v>
      </c>
      <c r="C38" s="115" t="s">
        <v>41</v>
      </c>
      <c r="D38" s="120"/>
      <c r="E38" s="120"/>
      <c r="F38" s="120"/>
      <c r="G38" s="120">
        <v>14</v>
      </c>
      <c r="H38" s="120"/>
      <c r="I38" s="120"/>
      <c r="J38" s="120"/>
      <c r="K38" s="120"/>
      <c r="L38" s="120"/>
      <c r="M38" s="120"/>
      <c r="N38" s="120"/>
      <c r="O38" s="120"/>
      <c r="P38" s="123">
        <f>SUM(E38:O39)</f>
        <v>14</v>
      </c>
      <c r="Q38" s="149">
        <f>(P38/46)*G7</f>
        <v>10.0434782608696</v>
      </c>
    </row>
    <row r="39" spans="1:17">
      <c r="A39" s="108"/>
      <c r="B39" s="20" t="s">
        <v>153</v>
      </c>
      <c r="C39" s="116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4"/>
      <c r="Q39" s="150"/>
    </row>
    <row r="40" spans="1:17">
      <c r="A40" s="108">
        <v>17</v>
      </c>
      <c r="B40" s="15" t="s">
        <v>155</v>
      </c>
      <c r="C40" s="115" t="s">
        <v>41</v>
      </c>
      <c r="D40" s="120"/>
      <c r="E40" s="120"/>
      <c r="F40" s="120"/>
      <c r="G40" s="120"/>
      <c r="H40" s="120">
        <v>22</v>
      </c>
      <c r="I40" s="120"/>
      <c r="J40" s="120"/>
      <c r="K40" s="120"/>
      <c r="L40" s="120"/>
      <c r="M40" s="120"/>
      <c r="N40" s="120"/>
      <c r="O40" s="120"/>
      <c r="P40" s="123">
        <f>SUM(E40:O41)</f>
        <v>22</v>
      </c>
      <c r="Q40" s="149">
        <f>(P40/46)*H7</f>
        <v>16.260869565217401</v>
      </c>
    </row>
    <row r="41" spans="1:17">
      <c r="A41" s="108"/>
      <c r="B41" s="23" t="s">
        <v>157</v>
      </c>
      <c r="C41" s="116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4"/>
      <c r="Q41" s="150"/>
    </row>
    <row r="42" spans="1:17">
      <c r="A42" s="108">
        <v>18</v>
      </c>
      <c r="B42" s="21" t="s">
        <v>172</v>
      </c>
      <c r="C42" s="115" t="s">
        <v>41</v>
      </c>
      <c r="D42" s="120"/>
      <c r="E42" s="120"/>
      <c r="F42" s="120"/>
      <c r="G42" s="120">
        <v>12</v>
      </c>
      <c r="H42" s="120"/>
      <c r="I42" s="120"/>
      <c r="J42" s="120"/>
      <c r="K42" s="120"/>
      <c r="L42" s="120"/>
      <c r="M42" s="120"/>
      <c r="N42" s="120"/>
      <c r="O42" s="120"/>
      <c r="P42" s="123">
        <f>SUM(E42:O43)</f>
        <v>12</v>
      </c>
      <c r="Q42" s="149">
        <f>(P42/46)*F7</f>
        <v>9.1304347826087007</v>
      </c>
    </row>
    <row r="43" spans="1:17">
      <c r="A43" s="108"/>
      <c r="B43" s="23" t="s">
        <v>174</v>
      </c>
      <c r="C43" s="116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4"/>
      <c r="Q43" s="150"/>
    </row>
    <row r="44" spans="1:17">
      <c r="A44" s="108">
        <v>19</v>
      </c>
      <c r="B44" s="15" t="s">
        <v>178</v>
      </c>
      <c r="C44" s="115" t="s">
        <v>41</v>
      </c>
      <c r="D44" s="120"/>
      <c r="E44" s="120"/>
      <c r="F44" s="120"/>
      <c r="G44" s="120"/>
      <c r="H44" s="120"/>
      <c r="I44" s="120"/>
      <c r="J44" s="120"/>
      <c r="K44" s="120">
        <v>8</v>
      </c>
      <c r="L44" s="120"/>
      <c r="M44" s="120"/>
      <c r="N44" s="120"/>
      <c r="O44" s="120"/>
      <c r="P44" s="123">
        <f>SUM(E44:O45)</f>
        <v>8</v>
      </c>
      <c r="Q44" s="149">
        <f>(P44/46)*K7</f>
        <v>5.9130434782608701</v>
      </c>
    </row>
    <row r="45" spans="1:17">
      <c r="A45" s="108"/>
      <c r="B45" s="18" t="s">
        <v>180</v>
      </c>
      <c r="C45" s="116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4"/>
      <c r="Q45" s="150"/>
    </row>
    <row r="46" spans="1:17">
      <c r="A46" s="108">
        <v>20</v>
      </c>
      <c r="B46" s="26" t="s">
        <v>184</v>
      </c>
      <c r="C46" s="115" t="s">
        <v>41</v>
      </c>
      <c r="D46" s="120"/>
      <c r="E46" s="120"/>
      <c r="F46" s="120"/>
      <c r="G46" s="120"/>
      <c r="H46" s="120"/>
      <c r="I46" s="120"/>
      <c r="J46" s="120">
        <v>24</v>
      </c>
      <c r="K46" s="120"/>
      <c r="L46" s="120"/>
      <c r="M46" s="120"/>
      <c r="N46" s="120"/>
      <c r="O46" s="120"/>
      <c r="P46" s="123">
        <f>SUM(E46:O47)</f>
        <v>24</v>
      </c>
      <c r="Q46" s="149">
        <f>(P46/46)*J7</f>
        <v>15.6521739130435</v>
      </c>
    </row>
    <row r="47" spans="1:17">
      <c r="A47" s="108"/>
      <c r="B47" s="27" t="s">
        <v>187</v>
      </c>
      <c r="C47" s="116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4"/>
      <c r="Q47" s="150"/>
    </row>
    <row r="48" spans="1:17">
      <c r="A48" s="108">
        <v>21</v>
      </c>
      <c r="B48" s="28" t="s">
        <v>189</v>
      </c>
      <c r="C48" s="115" t="s">
        <v>41</v>
      </c>
      <c r="D48" s="120"/>
      <c r="E48" s="120"/>
      <c r="F48" s="120"/>
      <c r="G48" s="120"/>
      <c r="H48" s="120"/>
      <c r="I48" s="120">
        <v>16</v>
      </c>
      <c r="J48" s="120"/>
      <c r="K48" s="120"/>
      <c r="L48" s="120"/>
      <c r="M48" s="120"/>
      <c r="N48" s="120"/>
      <c r="O48" s="120"/>
      <c r="P48" s="123">
        <f>SUM(E48:O49)</f>
        <v>16</v>
      </c>
      <c r="Q48" s="149">
        <f>(P48/46)*I7</f>
        <v>11.826086956521699</v>
      </c>
    </row>
    <row r="49" spans="1:17">
      <c r="A49" s="108"/>
      <c r="B49" s="20" t="s">
        <v>191</v>
      </c>
      <c r="C49" s="116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4"/>
      <c r="Q49" s="150"/>
    </row>
    <row r="50" spans="1:17">
      <c r="A50" s="108">
        <v>22</v>
      </c>
      <c r="B50" s="28" t="s">
        <v>198</v>
      </c>
      <c r="C50" s="115" t="s">
        <v>41</v>
      </c>
      <c r="D50" s="120"/>
      <c r="E50" s="120"/>
      <c r="F50" s="120"/>
      <c r="G50" s="120"/>
      <c r="H50" s="120"/>
      <c r="I50" s="120"/>
      <c r="J50" s="120"/>
      <c r="K50" s="120"/>
      <c r="L50" s="120">
        <v>4</v>
      </c>
      <c r="M50" s="120"/>
      <c r="N50" s="120"/>
      <c r="O50" s="120"/>
      <c r="P50" s="123">
        <f>SUM(E50:O51)</f>
        <v>4</v>
      </c>
      <c r="Q50" s="149">
        <f>(P50/46)*L7</f>
        <v>2.8695652173913002</v>
      </c>
    </row>
    <row r="51" spans="1:17">
      <c r="A51" s="108"/>
      <c r="B51" s="27" t="s">
        <v>200</v>
      </c>
      <c r="C51" s="116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4"/>
      <c r="Q51" s="150"/>
    </row>
    <row r="52" spans="1:17">
      <c r="A52" s="108">
        <v>23</v>
      </c>
      <c r="B52" s="28" t="s">
        <v>203</v>
      </c>
      <c r="C52" s="115" t="s">
        <v>41</v>
      </c>
      <c r="D52" s="120"/>
      <c r="E52" s="120"/>
      <c r="F52" s="120"/>
      <c r="G52" s="120"/>
      <c r="H52" s="120"/>
      <c r="I52" s="120"/>
      <c r="J52" s="120"/>
      <c r="K52" s="120">
        <v>12</v>
      </c>
      <c r="L52" s="120"/>
      <c r="M52" s="120"/>
      <c r="N52" s="120"/>
      <c r="O52" s="120"/>
      <c r="P52" s="123">
        <f>SUM(E52:O53)</f>
        <v>12</v>
      </c>
      <c r="Q52" s="149">
        <f>(P52/46)*K7</f>
        <v>8.8695652173912993</v>
      </c>
    </row>
    <row r="53" spans="1:17">
      <c r="A53" s="108"/>
      <c r="B53" s="27" t="s">
        <v>206</v>
      </c>
      <c r="C53" s="116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4"/>
      <c r="Q53" s="150"/>
    </row>
    <row r="54" spans="1:17">
      <c r="A54" s="108">
        <v>24</v>
      </c>
      <c r="B54" s="26" t="s">
        <v>208</v>
      </c>
      <c r="C54" s="115" t="s">
        <v>41</v>
      </c>
      <c r="D54" s="120"/>
      <c r="E54" s="120"/>
      <c r="F54" s="120"/>
      <c r="G54" s="120">
        <v>20</v>
      </c>
      <c r="H54" s="120"/>
      <c r="I54" s="120"/>
      <c r="J54" s="120"/>
      <c r="K54" s="120"/>
      <c r="L54" s="120"/>
      <c r="M54" s="120"/>
      <c r="N54" s="120"/>
      <c r="O54" s="120"/>
      <c r="P54" s="123">
        <f>SUM(E54:O55)</f>
        <v>20</v>
      </c>
      <c r="Q54" s="149">
        <f>(P54/46)*G7</f>
        <v>14.3478260869565</v>
      </c>
    </row>
    <row r="55" spans="1:17">
      <c r="A55" s="108"/>
      <c r="B55" s="20" t="s">
        <v>210</v>
      </c>
      <c r="C55" s="116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4"/>
      <c r="Q55" s="150"/>
    </row>
    <row r="56" spans="1:17">
      <c r="A56" s="108">
        <v>25</v>
      </c>
      <c r="B56" s="26" t="s">
        <v>215</v>
      </c>
      <c r="C56" s="115" t="s">
        <v>41</v>
      </c>
      <c r="D56" s="120"/>
      <c r="E56" s="120"/>
      <c r="F56" s="120">
        <v>14</v>
      </c>
      <c r="G56" s="120"/>
      <c r="H56" s="120"/>
      <c r="I56" s="120"/>
      <c r="J56" s="120"/>
      <c r="K56" s="120"/>
      <c r="L56" s="120"/>
      <c r="M56" s="120"/>
      <c r="N56" s="120"/>
      <c r="O56" s="120"/>
      <c r="P56" s="123">
        <f>SUM(E56:O57)</f>
        <v>14</v>
      </c>
      <c r="Q56" s="149">
        <f>(P56/46)*F7</f>
        <v>10.6521739130435</v>
      </c>
    </row>
    <row r="57" spans="1:17">
      <c r="A57" s="108"/>
      <c r="B57" s="27" t="s">
        <v>217</v>
      </c>
      <c r="C57" s="116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4"/>
      <c r="Q57" s="150"/>
    </row>
    <row r="58" spans="1:17">
      <c r="A58" s="108">
        <v>26</v>
      </c>
      <c r="B58" s="15" t="s">
        <v>220</v>
      </c>
      <c r="C58" s="115" t="s">
        <v>41</v>
      </c>
      <c r="D58" s="120"/>
      <c r="E58" s="120"/>
      <c r="F58" s="120"/>
      <c r="G58" s="120"/>
      <c r="H58" s="120"/>
      <c r="I58" s="120"/>
      <c r="J58" s="120">
        <v>22</v>
      </c>
      <c r="K58" s="120"/>
      <c r="L58" s="120"/>
      <c r="M58" s="120"/>
      <c r="N58" s="120"/>
      <c r="O58" s="120"/>
      <c r="P58" s="123">
        <f>SUM(E58:O59)</f>
        <v>22</v>
      </c>
      <c r="Q58" s="149">
        <f>(P58/46)*J7</f>
        <v>14.3478260869565</v>
      </c>
    </row>
    <row r="59" spans="1:17">
      <c r="A59" s="108"/>
      <c r="B59" s="18" t="s">
        <v>222</v>
      </c>
      <c r="C59" s="116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4"/>
      <c r="Q59" s="150"/>
    </row>
    <row r="60" spans="1:17">
      <c r="A60" s="108">
        <v>27</v>
      </c>
      <c r="B60" s="15" t="s">
        <v>235</v>
      </c>
      <c r="C60" s="115" t="s">
        <v>41</v>
      </c>
      <c r="D60" s="120"/>
      <c r="E60" s="120"/>
      <c r="F60" s="120"/>
      <c r="G60" s="120"/>
      <c r="H60" s="120"/>
      <c r="I60" s="120"/>
      <c r="J60" s="120"/>
      <c r="K60" s="120"/>
      <c r="L60" s="120">
        <v>20</v>
      </c>
      <c r="M60" s="120"/>
      <c r="N60" s="120"/>
      <c r="O60" s="120"/>
      <c r="P60" s="123">
        <f>SUM(E60:O61)</f>
        <v>20</v>
      </c>
      <c r="Q60" s="149">
        <f>(P60/46)*L7</f>
        <v>14.3478260869565</v>
      </c>
    </row>
    <row r="61" spans="1:17">
      <c r="A61" s="108"/>
      <c r="B61" s="20" t="s">
        <v>237</v>
      </c>
      <c r="C61" s="116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4"/>
      <c r="Q61" s="150"/>
    </row>
    <row r="62" spans="1:17">
      <c r="A62" s="108">
        <v>28</v>
      </c>
      <c r="B62" s="26" t="s">
        <v>249</v>
      </c>
      <c r="C62" s="115" t="s">
        <v>41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>
        <v>22</v>
      </c>
      <c r="O62" s="120"/>
      <c r="P62" s="128">
        <f>SUM(E62:O63)</f>
        <v>22</v>
      </c>
      <c r="Q62" s="149">
        <f>(P62/46)*N7</f>
        <v>16.260869565217401</v>
      </c>
    </row>
    <row r="63" spans="1:17">
      <c r="A63" s="108"/>
      <c r="B63" s="20" t="s">
        <v>251</v>
      </c>
      <c r="C63" s="116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8"/>
      <c r="Q63" s="150"/>
    </row>
    <row r="64" spans="1:17">
      <c r="A64" s="108">
        <v>29</v>
      </c>
      <c r="B64" s="15" t="s">
        <v>253</v>
      </c>
      <c r="C64" s="115" t="s">
        <v>41</v>
      </c>
      <c r="D64" s="120"/>
      <c r="E64" s="120"/>
      <c r="F64" s="120"/>
      <c r="G64" s="120"/>
      <c r="H64" s="120"/>
      <c r="I64" s="120">
        <v>16</v>
      </c>
      <c r="J64" s="120"/>
      <c r="K64" s="120"/>
      <c r="L64" s="120"/>
      <c r="M64" s="120"/>
      <c r="N64" s="120"/>
      <c r="O64" s="120"/>
      <c r="P64" s="128">
        <f>SUM(E64:O65)</f>
        <v>16</v>
      </c>
      <c r="Q64" s="149">
        <f>(P64/46)*I7</f>
        <v>11.826086956521699</v>
      </c>
    </row>
    <row r="65" spans="1:17">
      <c r="A65" s="108"/>
      <c r="B65" s="18" t="s">
        <v>256</v>
      </c>
      <c r="C65" s="116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8"/>
      <c r="Q65" s="150"/>
    </row>
    <row r="66" spans="1:17">
      <c r="A66" s="29"/>
      <c r="B66" s="29"/>
      <c r="C66" s="29"/>
      <c r="D66" s="29"/>
      <c r="E66" s="30">
        <f t="shared" ref="E66:Q66" si="0">SUM(E8:E65)</f>
        <v>46</v>
      </c>
      <c r="F66" s="30">
        <f t="shared" si="0"/>
        <v>46</v>
      </c>
      <c r="G66" s="30">
        <f t="shared" si="0"/>
        <v>46</v>
      </c>
      <c r="H66" s="30">
        <f t="shared" si="0"/>
        <v>46</v>
      </c>
      <c r="I66" s="30">
        <f t="shared" si="0"/>
        <v>46</v>
      </c>
      <c r="J66" s="30">
        <f t="shared" si="0"/>
        <v>46</v>
      </c>
      <c r="K66" s="30">
        <f t="shared" si="0"/>
        <v>46</v>
      </c>
      <c r="L66" s="30">
        <f t="shared" si="0"/>
        <v>46</v>
      </c>
      <c r="M66" s="30">
        <f t="shared" si="0"/>
        <v>46</v>
      </c>
      <c r="N66" s="30">
        <f t="shared" si="0"/>
        <v>46</v>
      </c>
      <c r="O66" s="30">
        <f t="shared" si="0"/>
        <v>46</v>
      </c>
      <c r="P66" s="30">
        <f t="shared" si="0"/>
        <v>506</v>
      </c>
      <c r="Q66" s="31">
        <f t="shared" si="0"/>
        <v>369.52173913043498</v>
      </c>
    </row>
    <row r="69" spans="1:17">
      <c r="B69" s="32" t="s">
        <v>259</v>
      </c>
      <c r="C69" s="32"/>
      <c r="D69" s="33"/>
      <c r="M69" s="33"/>
      <c r="N69" s="33"/>
      <c r="O69" s="33" t="s">
        <v>326</v>
      </c>
      <c r="P69" s="33"/>
      <c r="Q69" s="33"/>
    </row>
    <row r="70" spans="1:17">
      <c r="B70" s="32" t="s">
        <v>261</v>
      </c>
      <c r="C70" s="32"/>
      <c r="D70" s="32"/>
      <c r="M70" s="33"/>
      <c r="N70" s="33"/>
      <c r="O70" s="33" t="s">
        <v>262</v>
      </c>
      <c r="P70" s="33"/>
      <c r="Q70" s="33"/>
    </row>
    <row r="71" spans="1:17">
      <c r="B71" s="32"/>
      <c r="C71" s="32"/>
      <c r="D71" s="32"/>
      <c r="M71" s="33"/>
      <c r="N71" s="33"/>
      <c r="O71" s="33"/>
      <c r="P71" s="33"/>
      <c r="Q71" s="33"/>
    </row>
    <row r="72" spans="1:17">
      <c r="B72" s="32"/>
      <c r="C72" s="32"/>
      <c r="D72" s="32"/>
      <c r="M72" s="33"/>
      <c r="N72" s="33"/>
      <c r="O72" s="33"/>
      <c r="P72" s="33"/>
      <c r="Q72" s="33"/>
    </row>
    <row r="73" spans="1:17">
      <c r="B73" s="32"/>
      <c r="C73" s="32"/>
      <c r="D73" s="32"/>
      <c r="M73" s="33"/>
      <c r="N73" s="33"/>
      <c r="O73" s="33"/>
      <c r="P73" s="33"/>
      <c r="Q73" s="33"/>
    </row>
    <row r="74" spans="1:17">
      <c r="B74" s="34" t="s">
        <v>263</v>
      </c>
      <c r="C74" s="34"/>
      <c r="D74" s="32"/>
      <c r="M74" s="35"/>
      <c r="N74" s="33"/>
      <c r="O74" s="36" t="s">
        <v>264</v>
      </c>
      <c r="P74" s="33"/>
      <c r="Q74" s="36"/>
    </row>
    <row r="75" spans="1:17">
      <c r="B75" s="32" t="s">
        <v>265</v>
      </c>
      <c r="C75" s="32"/>
      <c r="D75" s="37"/>
      <c r="M75" s="33"/>
      <c r="N75" s="33"/>
      <c r="O75" s="33" t="s">
        <v>36</v>
      </c>
      <c r="P75" s="33"/>
      <c r="Q75" s="33"/>
    </row>
  </sheetData>
  <mergeCells count="474">
    <mergeCell ref="Q64:Q65"/>
    <mergeCell ref="Q46:Q47"/>
    <mergeCell ref="Q48:Q49"/>
    <mergeCell ref="Q50:Q51"/>
    <mergeCell ref="Q52:Q53"/>
    <mergeCell ref="Q54:Q55"/>
    <mergeCell ref="Q56:Q57"/>
    <mergeCell ref="Q58:Q59"/>
    <mergeCell ref="Q60:Q61"/>
    <mergeCell ref="Q62:Q63"/>
    <mergeCell ref="P58:P59"/>
    <mergeCell ref="P60:P61"/>
    <mergeCell ref="P62:P63"/>
    <mergeCell ref="P64:P65"/>
    <mergeCell ref="Q5:Q7"/>
    <mergeCell ref="Q8:Q9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O52:O53"/>
    <mergeCell ref="O54:O55"/>
    <mergeCell ref="O56:O57"/>
    <mergeCell ref="O58:O59"/>
    <mergeCell ref="O60:O61"/>
    <mergeCell ref="O62:O63"/>
    <mergeCell ref="O64:O65"/>
    <mergeCell ref="P5:P7"/>
    <mergeCell ref="P8:P9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N48:N49"/>
    <mergeCell ref="N50:N51"/>
    <mergeCell ref="N52:N53"/>
    <mergeCell ref="N54:N55"/>
    <mergeCell ref="N56:N57"/>
    <mergeCell ref="N58:N59"/>
    <mergeCell ref="N60:N61"/>
    <mergeCell ref="N62:N63"/>
    <mergeCell ref="N64:N65"/>
    <mergeCell ref="M58:M59"/>
    <mergeCell ref="M60:M61"/>
    <mergeCell ref="M62:M63"/>
    <mergeCell ref="M64:M65"/>
    <mergeCell ref="N8:N9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L50:L51"/>
    <mergeCell ref="L52:L53"/>
    <mergeCell ref="L54:L55"/>
    <mergeCell ref="L56:L57"/>
    <mergeCell ref="L58:L59"/>
    <mergeCell ref="L60:L61"/>
    <mergeCell ref="L62:L63"/>
    <mergeCell ref="L64:L65"/>
    <mergeCell ref="M8:M9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K60:K61"/>
    <mergeCell ref="K62:K63"/>
    <mergeCell ref="K64:K65"/>
    <mergeCell ref="L8:L9"/>
    <mergeCell ref="L10:L11"/>
    <mergeCell ref="L12:L13"/>
    <mergeCell ref="L14:L15"/>
    <mergeCell ref="L16:L17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K42:K43"/>
    <mergeCell ref="K44:K45"/>
    <mergeCell ref="K46:K47"/>
    <mergeCell ref="K48:K49"/>
    <mergeCell ref="K50:K51"/>
    <mergeCell ref="K52:K53"/>
    <mergeCell ref="K54:K55"/>
    <mergeCell ref="K56:K57"/>
    <mergeCell ref="K58:K59"/>
    <mergeCell ref="J52:J53"/>
    <mergeCell ref="J54:J55"/>
    <mergeCell ref="J56:J57"/>
    <mergeCell ref="J58:J59"/>
    <mergeCell ref="J60:J61"/>
    <mergeCell ref="J62:J63"/>
    <mergeCell ref="J64:J65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K26:K27"/>
    <mergeCell ref="K28:K29"/>
    <mergeCell ref="K30:K31"/>
    <mergeCell ref="K32:K33"/>
    <mergeCell ref="K34:K35"/>
    <mergeCell ref="K36:K37"/>
    <mergeCell ref="K38:K39"/>
    <mergeCell ref="K40:K41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I48:I49"/>
    <mergeCell ref="I50:I51"/>
    <mergeCell ref="I52:I53"/>
    <mergeCell ref="I54:I55"/>
    <mergeCell ref="I56:I57"/>
    <mergeCell ref="I58:I59"/>
    <mergeCell ref="I60:I61"/>
    <mergeCell ref="I62:I63"/>
    <mergeCell ref="I64:I65"/>
    <mergeCell ref="H58:H59"/>
    <mergeCell ref="H60:H61"/>
    <mergeCell ref="H62:H63"/>
    <mergeCell ref="H64:H65"/>
    <mergeCell ref="I8:I9"/>
    <mergeCell ref="I10:I11"/>
    <mergeCell ref="I12:I13"/>
    <mergeCell ref="I14:I15"/>
    <mergeCell ref="I16:I17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G50:G51"/>
    <mergeCell ref="G52:G53"/>
    <mergeCell ref="G54:G55"/>
    <mergeCell ref="G56:G57"/>
    <mergeCell ref="G58:G59"/>
    <mergeCell ref="G60:G61"/>
    <mergeCell ref="G62:G63"/>
    <mergeCell ref="G64:G65"/>
    <mergeCell ref="H8:H9"/>
    <mergeCell ref="H10:H11"/>
    <mergeCell ref="H12:H13"/>
    <mergeCell ref="H14:H15"/>
    <mergeCell ref="H16:H17"/>
    <mergeCell ref="H18:H19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F60:F61"/>
    <mergeCell ref="F62:F63"/>
    <mergeCell ref="F64:F65"/>
    <mergeCell ref="G8:G9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E52:E53"/>
    <mergeCell ref="E54:E55"/>
    <mergeCell ref="E56:E57"/>
    <mergeCell ref="E58:E59"/>
    <mergeCell ref="E60:E61"/>
    <mergeCell ref="E62:E63"/>
    <mergeCell ref="E64:E65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D62:D63"/>
    <mergeCell ref="D64:D65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C56:C57"/>
    <mergeCell ref="C58:C59"/>
    <mergeCell ref="C60:C61"/>
    <mergeCell ref="C62:C63"/>
    <mergeCell ref="C64:C65"/>
    <mergeCell ref="D5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A52:A53"/>
    <mergeCell ref="A54:A55"/>
    <mergeCell ref="A56:A57"/>
    <mergeCell ref="A58:A59"/>
    <mergeCell ref="A60:A61"/>
    <mergeCell ref="A62:A63"/>
    <mergeCell ref="A64:A65"/>
    <mergeCell ref="B5:B7"/>
    <mergeCell ref="C5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1:Q1"/>
    <mergeCell ref="A2:Q2"/>
    <mergeCell ref="A3:Q3"/>
    <mergeCell ref="E5:O5"/>
    <mergeCell ref="A5:A7"/>
    <mergeCell ref="A8:A9"/>
    <mergeCell ref="A10:A11"/>
    <mergeCell ref="A12:A13"/>
    <mergeCell ref="A14:A15"/>
    <mergeCell ref="J8:J9"/>
    <mergeCell ref="J10:J11"/>
    <mergeCell ref="J12:J13"/>
    <mergeCell ref="J14:J15"/>
    <mergeCell ref="O8:O9"/>
    <mergeCell ref="O10:O11"/>
    <mergeCell ref="O12:O13"/>
    <mergeCell ref="O14:O15"/>
  </mergeCells>
  <pageMargins left="0.7" right="0.7" top="0.75" bottom="0.75" header="0.3" footer="0.3"/>
  <pageSetup paperSize="5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26"/>
  <sheetViews>
    <sheetView zoomScale="120" zoomScaleNormal="120" workbookViewId="0">
      <selection activeCell="K18" sqref="K18"/>
    </sheetView>
  </sheetViews>
  <sheetFormatPr defaultColWidth="9" defaultRowHeight="15"/>
  <cols>
    <col min="1" max="1" width="2" customWidth="1"/>
    <col min="2" max="2" width="26" customWidth="1"/>
    <col min="3" max="3" width="12.85546875" customWidth="1"/>
    <col min="4" max="4" width="0.85546875" customWidth="1"/>
    <col min="5" max="5" width="8.5703125" customWidth="1"/>
    <col min="6" max="6" width="18.5703125" customWidth="1"/>
    <col min="7" max="7" width="8.5703125" customWidth="1"/>
    <col min="8" max="8" width="21.140625" customWidth="1"/>
    <col min="9" max="9" width="8.5703125" customWidth="1"/>
    <col min="10" max="10" width="18.5703125" customWidth="1"/>
    <col min="12" max="12" width="19.140625" customWidth="1"/>
  </cols>
  <sheetData>
    <row r="2" spans="1:11">
      <c r="A2" s="153" t="s">
        <v>341</v>
      </c>
      <c r="B2" s="153"/>
      <c r="C2" s="1"/>
      <c r="E2" s="153" t="s">
        <v>342</v>
      </c>
      <c r="F2" s="153"/>
      <c r="G2" s="153"/>
      <c r="H2" s="153"/>
      <c r="I2" s="153"/>
      <c r="J2" s="153"/>
    </row>
    <row r="3" spans="1:11">
      <c r="A3">
        <v>1</v>
      </c>
      <c r="B3" s="2" t="s">
        <v>343</v>
      </c>
      <c r="C3" s="3" t="s">
        <v>344</v>
      </c>
      <c r="E3" s="4" t="s">
        <v>345</v>
      </c>
      <c r="F3" s="5" t="s">
        <v>346</v>
      </c>
      <c r="G3" s="4" t="s">
        <v>347</v>
      </c>
      <c r="H3" s="5" t="s">
        <v>348</v>
      </c>
      <c r="I3" s="4" t="s">
        <v>349</v>
      </c>
      <c r="J3" s="5" t="s">
        <v>350</v>
      </c>
    </row>
    <row r="4" spans="1:11">
      <c r="A4">
        <v>2</v>
      </c>
      <c r="B4" s="6" t="s">
        <v>351</v>
      </c>
      <c r="C4" s="3" t="s">
        <v>352</v>
      </c>
      <c r="E4" s="4" t="s">
        <v>353</v>
      </c>
      <c r="F4" s="5" t="s">
        <v>354</v>
      </c>
      <c r="G4" s="4" t="s">
        <v>355</v>
      </c>
      <c r="H4" s="5" t="s">
        <v>356</v>
      </c>
      <c r="I4" s="4" t="s">
        <v>357</v>
      </c>
      <c r="J4" s="5" t="s">
        <v>358</v>
      </c>
    </row>
    <row r="5" spans="1:11">
      <c r="A5">
        <v>3</v>
      </c>
      <c r="B5" s="2" t="s">
        <v>359</v>
      </c>
      <c r="C5" s="3" t="s">
        <v>360</v>
      </c>
      <c r="E5" s="4" t="s">
        <v>361</v>
      </c>
      <c r="F5" s="5" t="s">
        <v>362</v>
      </c>
      <c r="G5" s="4" t="s">
        <v>363</v>
      </c>
      <c r="H5" s="5" t="s">
        <v>364</v>
      </c>
      <c r="I5" s="4" t="s">
        <v>365</v>
      </c>
      <c r="J5" s="5" t="s">
        <v>366</v>
      </c>
    </row>
    <row r="6" spans="1:11">
      <c r="A6">
        <v>4</v>
      </c>
      <c r="B6" s="2" t="s">
        <v>367</v>
      </c>
      <c r="C6" s="3" t="s">
        <v>368</v>
      </c>
      <c r="E6" s="4" t="s">
        <v>369</v>
      </c>
      <c r="F6" s="5" t="s">
        <v>370</v>
      </c>
      <c r="G6" s="4" t="s">
        <v>371</v>
      </c>
      <c r="H6" s="5" t="s">
        <v>372</v>
      </c>
      <c r="I6" s="4" t="s">
        <v>373</v>
      </c>
      <c r="J6" s="5" t="s">
        <v>374</v>
      </c>
    </row>
    <row r="7" spans="1:11">
      <c r="A7">
        <v>5</v>
      </c>
      <c r="B7" s="2" t="s">
        <v>375</v>
      </c>
      <c r="C7" s="3" t="s">
        <v>376</v>
      </c>
      <c r="E7" s="4" t="s">
        <v>377</v>
      </c>
      <c r="F7" s="5" t="s">
        <v>378</v>
      </c>
      <c r="G7" s="4" t="s">
        <v>379</v>
      </c>
      <c r="H7" s="5" t="s">
        <v>380</v>
      </c>
      <c r="I7" s="4" t="s">
        <v>381</v>
      </c>
      <c r="J7" s="5" t="s">
        <v>382</v>
      </c>
    </row>
    <row r="8" spans="1:11">
      <c r="A8">
        <v>6</v>
      </c>
      <c r="B8" s="2" t="s">
        <v>383</v>
      </c>
      <c r="C8" s="3" t="s">
        <v>26</v>
      </c>
      <c r="E8" s="4" t="s">
        <v>384</v>
      </c>
      <c r="F8" s="5" t="s">
        <v>385</v>
      </c>
      <c r="G8" s="4" t="s">
        <v>386</v>
      </c>
      <c r="H8" s="5" t="s">
        <v>212</v>
      </c>
      <c r="I8" s="4" t="s">
        <v>387</v>
      </c>
      <c r="J8" s="7" t="s">
        <v>388</v>
      </c>
    </row>
    <row r="9" spans="1:11">
      <c r="E9" s="4" t="s">
        <v>389</v>
      </c>
      <c r="F9" s="5" t="s">
        <v>390</v>
      </c>
      <c r="G9" s="4" t="s">
        <v>391</v>
      </c>
      <c r="H9" s="5" t="s">
        <v>392</v>
      </c>
      <c r="I9" s="4" t="s">
        <v>393</v>
      </c>
      <c r="J9" s="5" t="s">
        <v>394</v>
      </c>
    </row>
    <row r="10" spans="1:11">
      <c r="A10" s="153" t="s">
        <v>395</v>
      </c>
      <c r="B10" s="153"/>
      <c r="C10" s="1"/>
      <c r="E10" s="4" t="s">
        <v>396</v>
      </c>
      <c r="F10" s="7" t="s">
        <v>397</v>
      </c>
      <c r="G10" s="4" t="s">
        <v>398</v>
      </c>
      <c r="H10" s="5" t="s">
        <v>399</v>
      </c>
      <c r="I10" s="4" t="s">
        <v>400</v>
      </c>
      <c r="J10" s="5" t="s">
        <v>401</v>
      </c>
      <c r="K10" s="4"/>
    </row>
    <row r="11" spans="1:11">
      <c r="A11">
        <v>1</v>
      </c>
      <c r="B11" s="2" t="s">
        <v>264</v>
      </c>
      <c r="C11" s="3" t="s">
        <v>402</v>
      </c>
      <c r="E11" s="4" t="s">
        <v>403</v>
      </c>
      <c r="F11" s="5" t="s">
        <v>404</v>
      </c>
      <c r="G11" s="4" t="s">
        <v>405</v>
      </c>
      <c r="H11" s="5" t="s">
        <v>406</v>
      </c>
      <c r="I11" s="4" t="s">
        <v>407</v>
      </c>
      <c r="J11" s="5" t="s">
        <v>408</v>
      </c>
      <c r="K11" s="4"/>
    </row>
    <row r="12" spans="1:11">
      <c r="A12">
        <v>2</v>
      </c>
      <c r="B12" s="2" t="s">
        <v>409</v>
      </c>
      <c r="C12" s="3" t="s">
        <v>410</v>
      </c>
      <c r="E12" s="4" t="s">
        <v>411</v>
      </c>
      <c r="F12" s="5" t="s">
        <v>412</v>
      </c>
      <c r="G12" s="4" t="s">
        <v>413</v>
      </c>
      <c r="H12" s="5" t="s">
        <v>414</v>
      </c>
      <c r="I12" s="4" t="s">
        <v>415</v>
      </c>
      <c r="J12" s="7" t="s">
        <v>416</v>
      </c>
      <c r="K12" s="4"/>
    </row>
    <row r="13" spans="1:11">
      <c r="A13">
        <v>3</v>
      </c>
      <c r="B13" s="2" t="s">
        <v>417</v>
      </c>
      <c r="C13" s="3" t="s">
        <v>418</v>
      </c>
      <c r="E13" s="4" t="s">
        <v>419</v>
      </c>
      <c r="F13" s="5" t="s">
        <v>420</v>
      </c>
      <c r="G13" s="4" t="s">
        <v>421</v>
      </c>
      <c r="H13" s="5" t="s">
        <v>422</v>
      </c>
      <c r="I13" s="4" t="s">
        <v>423</v>
      </c>
      <c r="J13" s="5" t="s">
        <v>424</v>
      </c>
      <c r="K13" s="4"/>
    </row>
    <row r="14" spans="1:11">
      <c r="A14">
        <v>4</v>
      </c>
      <c r="B14" s="2" t="s">
        <v>425</v>
      </c>
      <c r="C14" s="3" t="s">
        <v>426</v>
      </c>
      <c r="H14" s="5"/>
    </row>
    <row r="15" spans="1:11">
      <c r="A15">
        <v>5</v>
      </c>
      <c r="B15" s="2" t="s">
        <v>427</v>
      </c>
      <c r="C15" s="3" t="s">
        <v>428</v>
      </c>
      <c r="E15" s="3"/>
      <c r="H15" t="s">
        <v>429</v>
      </c>
    </row>
    <row r="16" spans="1:11">
      <c r="C16" s="3"/>
      <c r="E16" s="3"/>
      <c r="F16" t="s">
        <v>430</v>
      </c>
      <c r="H16" s="154">
        <f>(18/46)*33</f>
        <v>12.913043478260899</v>
      </c>
    </row>
    <row r="17" spans="5:12">
      <c r="E17" s="3"/>
      <c r="H17" s="154"/>
    </row>
    <row r="18" spans="5:12">
      <c r="E18" s="3"/>
    </row>
    <row r="19" spans="5:12">
      <c r="E19" s="3"/>
      <c r="G19" s="3"/>
      <c r="I19" s="3"/>
      <c r="K19" s="4"/>
    </row>
    <row r="20" spans="5:12">
      <c r="E20" s="3"/>
      <c r="G20" s="3"/>
      <c r="I20" s="3"/>
    </row>
    <row r="21" spans="5:12">
      <c r="E21" s="3"/>
      <c r="G21" s="3"/>
      <c r="I21" s="3"/>
      <c r="L21" s="155"/>
    </row>
    <row r="22" spans="5:12">
      <c r="E22" s="3"/>
      <c r="G22" s="3"/>
      <c r="I22" s="3"/>
      <c r="L22" s="155"/>
    </row>
    <row r="23" spans="5:12">
      <c r="E23" s="3"/>
      <c r="G23" s="3"/>
      <c r="I23" s="3"/>
    </row>
    <row r="24" spans="5:12">
      <c r="E24" s="3"/>
      <c r="G24" s="3"/>
      <c r="I24" s="3"/>
    </row>
    <row r="25" spans="5:12">
      <c r="E25" s="3"/>
      <c r="G25" s="3"/>
      <c r="I25" s="3"/>
    </row>
    <row r="26" spans="5:12">
      <c r="E26" s="3"/>
      <c r="G26" s="3"/>
      <c r="I26" s="3"/>
    </row>
  </sheetData>
  <mergeCells count="5">
    <mergeCell ref="A2:B2"/>
    <mergeCell ref="E2:J2"/>
    <mergeCell ref="A10:B10"/>
    <mergeCell ref="H16:H17"/>
    <mergeCell ref="L21:L22"/>
  </mergeCells>
  <pageMargins left="0.7" right="0.7" top="0.75" bottom="0.75" header="0.3" footer="0.3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distribusi</vt:lpstr>
      <vt:lpstr>10</vt:lpstr>
      <vt:lpstr>11</vt:lpstr>
      <vt:lpstr>PKL</vt:lpstr>
      <vt:lpstr>Walas 26-27</vt:lpstr>
      <vt:lpstr>'10'!Print_Area</vt:lpstr>
      <vt:lpstr>'11'!Print_Area</vt:lpstr>
      <vt:lpstr>distribusi!Print_Area</vt:lpstr>
      <vt:lpstr>PKL!Print_Area</vt:lpstr>
      <vt:lpstr>'10'!Print_Titles</vt:lpstr>
      <vt:lpstr>'11'!Print_Titles</vt:lpstr>
      <vt:lpstr>distribusi!Print_Titles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miksakura</dc:creator>
  <cp:lastModifiedBy>asd asdasdasdasd</cp:lastModifiedBy>
  <cp:lastPrinted>2026-07-13T05:24:25Z</cp:lastPrinted>
  <dcterms:created xsi:type="dcterms:W3CDTF">2025-04-23T02:36:00Z</dcterms:created>
  <dcterms:modified xsi:type="dcterms:W3CDTF">2026-07-15T08:47:52Z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D0D9C66E05764773911E9B34E8D2E0EB_12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